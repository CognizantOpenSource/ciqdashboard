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123427\Downloads\"/>
    </mc:Choice>
  </mc:AlternateContent>
  <xr:revisionPtr revIDLastSave="0" documentId="13_ncr:1_{B67259DE-DE66-4755-9E57-C01A6462477A}" xr6:coauthVersionLast="47" xr6:coauthVersionMax="47" xr10:uidLastSave="{00000000-0000-0000-0000-000000000000}"/>
  <bookViews>
    <workbookView xWindow="-110" yWindow="-110" windowWidth="19420" windowHeight="10300" tabRatio="788" activeTab="6" xr2:uid="{9F62C6F5-CBAE-435A-8789-F85E014B045E}"/>
  </bookViews>
  <sheets>
    <sheet name="Asset summary" sheetId="1" r:id="rId1"/>
    <sheet name="Initial scan" sheetId="2" r:id="rId2"/>
    <sheet name="Initial Email table" sheetId="6" r:id="rId3"/>
    <sheet name="Tracker update - initial" sheetId="8" r:id="rId4"/>
    <sheet name="Final scan" sheetId="5" r:id="rId5"/>
    <sheet name="Final Email table" sheetId="7" r:id="rId6"/>
    <sheet name="Tracker update - final" sheetId="9" r:id="rId7"/>
    <sheet name="lookUp" sheetId="3" r:id="rId8"/>
    <sheet name="Documentations" sheetId="10" r:id="rId9"/>
    <sheet name="version" sheetId="11" r:id="rId10"/>
  </sheets>
  <functionGroups builtInGroupCount="19"/>
  <definedNames>
    <definedName name="_xlpm.item" hidden="1" xlm="1">#NAME?</definedName>
    <definedName name="_xlpm.rg" hidden="1" xlm="1">#NAME?</definedName>
    <definedName name="_xlpm.ut" hidden="1" xlm="1">#NAME?</definedName>
    <definedName name="_xlpm.val" hidden="1" xlm="1">#NAME?</definedName>
    <definedName name="asset.class">'Asset summary'!$D$7</definedName>
    <definedName name="asset.id">'Asset summary'!$C$6</definedName>
    <definedName name="asset.name">'Asset summary'!$C$5</definedName>
    <definedName name="asset.release">'Asset summary'!$C$9</definedName>
    <definedName name="assignee">'Asset summary'!$C$10</definedName>
    <definedName name="bug.blocker.except">'Final scan'!$R$3</definedName>
    <definedName name="bug.blocker.false">'Final scan'!$R$4</definedName>
    <definedName name="bug.critical.except">'Final scan'!$S$3</definedName>
    <definedName name="bug.critical.false">'Final scan'!$S$4</definedName>
    <definedName name="comments">'Asset summary'!$C$17</definedName>
    <definedName name="doc.arch.final">'Asset summary'!$G$8</definedName>
    <definedName name="doc.arch.initial">'Asset summary'!$F$8</definedName>
    <definedName name="doc.overview.final">'Asset summary'!$G$6</definedName>
    <definedName name="doc.overview.initial">'Asset summary'!$F$6</definedName>
    <definedName name="doc.readme.final">'Asset summary'!$G$7</definedName>
    <definedName name="doc.readme.initial">'Asset summary'!$F$7</definedName>
    <definedName name="doc.releaseNotes.final">'Asset summary'!$G$10</definedName>
    <definedName name="doc.releaseNotes.initial">'Asset summary'!$F$10</definedName>
    <definedName name="doc.ui.final">'Asset summary'!$G$9</definedName>
    <definedName name="doc.ui.initial">'Asset summary'!$F$9</definedName>
    <definedName name="doc.userGuide.final">'Asset summary'!$G$11</definedName>
    <definedName name="doc.userGuide.initial">'Asset summary'!$F$11</definedName>
    <definedName name="Exceptions">'Final scan'!$M$3:$S$4</definedName>
    <definedName name="final.doc">'Asset summary'!$G$6:$G$11</definedName>
    <definedName name="final.evaluationDate">'Asset summary'!$C$14</definedName>
    <definedName name="final.status">'Asset summary'!$K$22</definedName>
    <definedName name="FOSS.critical.except">'Final scan'!$O$3</definedName>
    <definedName name="FOSS.critical.false">'Final scan'!$O$4</definedName>
    <definedName name="FOSS.high.except">'Final scan'!$P$3</definedName>
    <definedName name="FOSS.high.false">'Final scan'!$P$4</definedName>
    <definedName name="FOSS.medium.except">'Final scan'!$Q$3</definedName>
    <definedName name="FOSS.medium.false">'Final scan'!$Q$4</definedName>
    <definedName name="init.doc">'Asset summary'!$F$6:$F$11</definedName>
    <definedName name="initial.evaluationDate">'Asset summary'!$C$13</definedName>
    <definedName name="initial.status">'Asset summary'!$J$22</definedName>
    <definedName name="input.asset">'Asset summary'!$C$5:$C$10,'Asset summary'!$C$13:$C$14,'Asset summary'!$C$17:$F$17,'Asset summary'!$F$6:$G$6,'Asset summary'!$F$8:$G$11</definedName>
    <definedName name="input.finalScan">finalScan[[Repository Name]:[Comments]]</definedName>
    <definedName name="input.initialScan">initialScan[[Repository Name]:[Comments]]</definedName>
    <definedName name="jira">'Asset summary'!$C$8</definedName>
    <definedName name="PHS.comment.final">'Asset summary'!$K$13</definedName>
    <definedName name="PHS.comment.initial">'Asset summary'!$J$13</definedName>
    <definedName name="PHS.doc.final">'Asset summary'!$K$10</definedName>
    <definedName name="PHS.doc.initial">'Asset summary'!$J$10</definedName>
    <definedName name="PHS.dupli.final">'Asset summary'!$K$12</definedName>
    <definedName name="PHS.dupli.initial">'Asset summary'!$J$12</definedName>
    <definedName name="PHS.FOSS.final">'Asset summary'!$K$7</definedName>
    <definedName name="PHS.FOSS.initial">'Asset summary'!$J$7</definedName>
    <definedName name="PHS.maintainability.final">'Asset summary'!$K$9</definedName>
    <definedName name="PHS.maintainability.initial">'Asset summary'!$J$9</definedName>
    <definedName name="PHS.reliability.final">'Asset summary'!$K$8</definedName>
    <definedName name="PHS.reliability.initial">'Asset summary'!$J$8</definedName>
    <definedName name="PHS.SAST.final">'Asset summary'!$K$6</definedName>
    <definedName name="PHS.SAST.initial">'Asset summary'!$J$6</definedName>
    <definedName name="PHS.unitTest.final">'Asset summary'!$K$11</definedName>
    <definedName name="PHS.unitTest.initial">'Asset summary'!$J$11</definedName>
    <definedName name="SAST.high.except">'Final scan'!$M$3</definedName>
    <definedName name="SAST.high.false">'Final scan'!$M$4</definedName>
    <definedName name="SAST.medium.except">'Final scan'!$N$3</definedName>
    <definedName name="SAST.medium.false">'Final scan'!$N$4</definedName>
    <definedName name="totalRepos">'Asset summary'!$C$11</definedName>
    <definedName name="tracker.asset.final">'Tracker update - final'!$B$3:$AK$3</definedName>
    <definedName name="tracker.asset.initial">'Tracker update - initial'!$B$3:$W$3</definedName>
    <definedName name="tracker.repo.final">'Tracker update - final'!$B$7:$AG$107</definedName>
    <definedName name="tracker.repo.initial">'Tracker update - initial'!$B$7:$AG$107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" i="11" l="1"/>
  <c r="A13" i="11"/>
  <c r="A12" i="11"/>
  <c r="X16" i="7"/>
  <c r="AC16" i="7" s="1"/>
  <c r="X14" i="7"/>
  <c r="AC14" i="7" s="1"/>
  <c r="AC15" i="6"/>
  <c r="A11" i="11"/>
  <c r="AC17" i="6"/>
  <c r="A10" i="11" l="1"/>
  <c r="D1" i="7"/>
  <c r="D1" i="6"/>
  <c r="A9" i="11"/>
  <c r="A8" i="11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E6" i="5"/>
  <c r="E1" i="2"/>
  <c r="P6" i="5"/>
  <c r="O5" i="5"/>
  <c r="A7" i="11"/>
  <c r="A3" i="11"/>
  <c r="A4" i="11"/>
  <c r="A5" i="11"/>
  <c r="A6" i="11"/>
  <c r="A8" i="7" a="1"/>
  <c r="A8" i="7" s="1"/>
  <c r="H7" i="7" l="1"/>
  <c r="Y22" i="7" s="1"/>
  <c r="A9" i="6" a="1"/>
  <c r="A9" i="6" s="1"/>
  <c r="Q1" i="2"/>
  <c r="H8" i="6" l="1"/>
  <c r="X23" i="6" s="1"/>
  <c r="X22" i="7" s="1"/>
  <c r="AC22" i="7" s="1"/>
  <c r="Y23" i="6" l="1"/>
  <c r="AC23" i="6" s="1"/>
  <c r="J1" i="1" a="1"/>
  <c r="J1" i="1" s="1"/>
  <c r="A2" i="11"/>
  <c r="D6" i="1"/>
  <c r="D6" i="5"/>
  <c r="G7" i="1" s="1"/>
  <c r="K10" i="1" s="1"/>
  <c r="D1" i="2"/>
  <c r="F7" i="1" s="1"/>
  <c r="J10" i="1" s="1"/>
  <c r="D7" i="1" l="1"/>
  <c r="X6" i="5"/>
  <c r="W6" i="5"/>
  <c r="J17" i="1" l="1"/>
  <c r="K20" i="1" s="1"/>
  <c r="B6" i="5"/>
  <c r="B2" i="7"/>
  <c r="B1" i="7"/>
  <c r="B2" i="6"/>
  <c r="B1" i="6"/>
  <c r="N3" i="7"/>
  <c r="N3" i="6"/>
  <c r="M5" i="5"/>
  <c r="M6" i="5" s="1"/>
  <c r="N5" i="5"/>
  <c r="N6" i="5" s="1"/>
  <c r="P5" i="5"/>
  <c r="Q5" i="5"/>
  <c r="R6" i="5" s="1"/>
  <c r="R5" i="5"/>
  <c r="S5" i="5"/>
  <c r="AE107" i="5"/>
  <c r="AD107" i="5"/>
  <c r="AC107" i="5"/>
  <c r="AE106" i="5"/>
  <c r="AD106" i="5"/>
  <c r="AC106" i="5"/>
  <c r="AE105" i="5"/>
  <c r="AD105" i="5"/>
  <c r="AC105" i="5"/>
  <c r="AE104" i="5"/>
  <c r="AD104" i="5"/>
  <c r="AC104" i="5"/>
  <c r="AE103" i="5"/>
  <c r="AD103" i="5"/>
  <c r="AC103" i="5"/>
  <c r="AE102" i="5"/>
  <c r="AD102" i="5"/>
  <c r="AC102" i="5"/>
  <c r="AE101" i="5"/>
  <c r="AD101" i="5"/>
  <c r="AC101" i="5"/>
  <c r="AE100" i="5"/>
  <c r="AD100" i="5"/>
  <c r="AC100" i="5"/>
  <c r="AE99" i="5"/>
  <c r="AD99" i="5"/>
  <c r="AC99" i="5"/>
  <c r="AE98" i="5"/>
  <c r="AD98" i="5"/>
  <c r="AC98" i="5"/>
  <c r="AE97" i="5"/>
  <c r="AD97" i="5"/>
  <c r="AC97" i="5"/>
  <c r="AE96" i="5"/>
  <c r="AD96" i="5"/>
  <c r="AC96" i="5"/>
  <c r="AE95" i="5"/>
  <c r="AD95" i="5"/>
  <c r="AC95" i="5"/>
  <c r="AE94" i="5"/>
  <c r="AD94" i="5"/>
  <c r="AC94" i="5"/>
  <c r="AE93" i="5"/>
  <c r="AD93" i="5"/>
  <c r="AC93" i="5"/>
  <c r="AE92" i="5"/>
  <c r="AD92" i="5"/>
  <c r="AC92" i="5"/>
  <c r="AE91" i="5"/>
  <c r="AD91" i="5"/>
  <c r="AC91" i="5"/>
  <c r="AE90" i="5"/>
  <c r="AD90" i="5"/>
  <c r="AC90" i="5"/>
  <c r="AE89" i="5"/>
  <c r="AD89" i="5"/>
  <c r="AC89" i="5"/>
  <c r="AE88" i="5"/>
  <c r="AD88" i="5"/>
  <c r="AC88" i="5"/>
  <c r="AE87" i="5"/>
  <c r="AD87" i="5"/>
  <c r="AC87" i="5"/>
  <c r="AE86" i="5"/>
  <c r="AD86" i="5"/>
  <c r="AC86" i="5"/>
  <c r="AE85" i="5"/>
  <c r="AD85" i="5"/>
  <c r="AC85" i="5"/>
  <c r="AE84" i="5"/>
  <c r="AD84" i="5"/>
  <c r="AC84" i="5"/>
  <c r="AE83" i="5"/>
  <c r="AD83" i="5"/>
  <c r="AC83" i="5"/>
  <c r="AE82" i="5"/>
  <c r="AD82" i="5"/>
  <c r="AC82" i="5"/>
  <c r="AE81" i="5"/>
  <c r="AD81" i="5"/>
  <c r="AC81" i="5"/>
  <c r="AE80" i="5"/>
  <c r="AD80" i="5"/>
  <c r="AC80" i="5"/>
  <c r="AE79" i="5"/>
  <c r="AD79" i="5"/>
  <c r="AC79" i="5"/>
  <c r="AE78" i="5"/>
  <c r="AD78" i="5"/>
  <c r="AC78" i="5"/>
  <c r="AE77" i="5"/>
  <c r="AD77" i="5"/>
  <c r="AC77" i="5"/>
  <c r="AE76" i="5"/>
  <c r="AD76" i="5"/>
  <c r="AC76" i="5"/>
  <c r="AE75" i="5"/>
  <c r="AD75" i="5"/>
  <c r="AC75" i="5"/>
  <c r="AE74" i="5"/>
  <c r="AD74" i="5"/>
  <c r="AC74" i="5"/>
  <c r="AE73" i="5"/>
  <c r="AD73" i="5"/>
  <c r="AC73" i="5"/>
  <c r="AE72" i="5"/>
  <c r="AD72" i="5"/>
  <c r="AC72" i="5"/>
  <c r="AE71" i="5"/>
  <c r="AD71" i="5"/>
  <c r="AC71" i="5"/>
  <c r="AE70" i="5"/>
  <c r="AD70" i="5"/>
  <c r="AC70" i="5"/>
  <c r="AE69" i="5"/>
  <c r="AD69" i="5"/>
  <c r="AC69" i="5"/>
  <c r="AE68" i="5"/>
  <c r="AD68" i="5"/>
  <c r="AC68" i="5"/>
  <c r="AE67" i="5"/>
  <c r="AD67" i="5"/>
  <c r="AC67" i="5"/>
  <c r="AE66" i="5"/>
  <c r="AD66" i="5"/>
  <c r="AC66" i="5"/>
  <c r="AE65" i="5"/>
  <c r="AD65" i="5"/>
  <c r="AC65" i="5"/>
  <c r="AE64" i="5"/>
  <c r="AD64" i="5"/>
  <c r="AC64" i="5"/>
  <c r="AE63" i="5"/>
  <c r="AD63" i="5"/>
  <c r="AC63" i="5"/>
  <c r="AE62" i="5"/>
  <c r="AD62" i="5"/>
  <c r="AC62" i="5"/>
  <c r="AE61" i="5"/>
  <c r="AD61" i="5"/>
  <c r="AC61" i="5"/>
  <c r="AE60" i="5"/>
  <c r="AD60" i="5"/>
  <c r="AC60" i="5"/>
  <c r="AE59" i="5"/>
  <c r="AD59" i="5"/>
  <c r="AC59" i="5"/>
  <c r="AE58" i="5"/>
  <c r="AD58" i="5"/>
  <c r="AC58" i="5"/>
  <c r="AE57" i="5"/>
  <c r="AD57" i="5"/>
  <c r="AC57" i="5"/>
  <c r="AE56" i="5"/>
  <c r="AD56" i="5"/>
  <c r="AC56" i="5"/>
  <c r="AE55" i="5"/>
  <c r="AD55" i="5"/>
  <c r="AC55" i="5"/>
  <c r="AE54" i="5"/>
  <c r="AD54" i="5"/>
  <c r="AC54" i="5"/>
  <c r="AE53" i="5"/>
  <c r="AD53" i="5"/>
  <c r="AC53" i="5"/>
  <c r="AE52" i="5"/>
  <c r="AD52" i="5"/>
  <c r="AC52" i="5"/>
  <c r="AE51" i="5"/>
  <c r="AD51" i="5"/>
  <c r="AC51" i="5"/>
  <c r="AE50" i="5"/>
  <c r="AD50" i="5"/>
  <c r="AC50" i="5"/>
  <c r="AE49" i="5"/>
  <c r="AD49" i="5"/>
  <c r="AC49" i="5"/>
  <c r="AE48" i="5"/>
  <c r="AD48" i="5"/>
  <c r="AC48" i="5"/>
  <c r="AE47" i="5"/>
  <c r="AD47" i="5"/>
  <c r="AC47" i="5"/>
  <c r="AE46" i="5"/>
  <c r="AD46" i="5"/>
  <c r="AC46" i="5"/>
  <c r="AE45" i="5"/>
  <c r="AD45" i="5"/>
  <c r="AC45" i="5"/>
  <c r="AE44" i="5"/>
  <c r="AD44" i="5"/>
  <c r="AC44" i="5"/>
  <c r="AE43" i="5"/>
  <c r="AD43" i="5"/>
  <c r="AC43" i="5"/>
  <c r="AE42" i="5"/>
  <c r="AD42" i="5"/>
  <c r="AC42" i="5"/>
  <c r="AE41" i="5"/>
  <c r="AD41" i="5"/>
  <c r="AC41" i="5"/>
  <c r="AE40" i="5"/>
  <c r="AD40" i="5"/>
  <c r="AC40" i="5"/>
  <c r="AE39" i="5"/>
  <c r="AD39" i="5"/>
  <c r="AC39" i="5"/>
  <c r="AE38" i="5"/>
  <c r="AD38" i="5"/>
  <c r="AC38" i="5"/>
  <c r="AE37" i="5"/>
  <c r="AD37" i="5"/>
  <c r="AC37" i="5"/>
  <c r="AE36" i="5"/>
  <c r="AD36" i="5"/>
  <c r="AC36" i="5"/>
  <c r="AE35" i="5"/>
  <c r="AD35" i="5"/>
  <c r="AC35" i="5"/>
  <c r="AE34" i="5"/>
  <c r="AD34" i="5"/>
  <c r="AC34" i="5"/>
  <c r="AE33" i="5"/>
  <c r="AD33" i="5"/>
  <c r="AC33" i="5"/>
  <c r="AE32" i="5"/>
  <c r="AD32" i="5"/>
  <c r="AC32" i="5"/>
  <c r="AE31" i="5"/>
  <c r="AD31" i="5"/>
  <c r="AC31" i="5"/>
  <c r="AE30" i="5"/>
  <c r="AD30" i="5"/>
  <c r="AC30" i="5"/>
  <c r="AE29" i="5"/>
  <c r="AD29" i="5"/>
  <c r="AC29" i="5"/>
  <c r="AE28" i="5"/>
  <c r="AD28" i="5"/>
  <c r="AC28" i="5"/>
  <c r="AE27" i="5"/>
  <c r="AD27" i="5"/>
  <c r="AC27" i="5"/>
  <c r="AE26" i="5"/>
  <c r="AD26" i="5"/>
  <c r="AC26" i="5"/>
  <c r="AE25" i="5"/>
  <c r="AD25" i="5"/>
  <c r="AC25" i="5"/>
  <c r="AE24" i="5"/>
  <c r="AD24" i="5"/>
  <c r="AC24" i="5"/>
  <c r="AE23" i="5"/>
  <c r="AD23" i="5"/>
  <c r="AC23" i="5"/>
  <c r="AE22" i="5"/>
  <c r="AD22" i="5"/>
  <c r="AC22" i="5"/>
  <c r="AE21" i="5"/>
  <c r="AD21" i="5"/>
  <c r="AC21" i="5"/>
  <c r="AE20" i="5"/>
  <c r="AD20" i="5"/>
  <c r="AC20" i="5"/>
  <c r="AE19" i="5"/>
  <c r="AD19" i="5"/>
  <c r="AC19" i="5"/>
  <c r="AE18" i="5"/>
  <c r="AD18" i="5"/>
  <c r="AC18" i="5"/>
  <c r="AE17" i="5"/>
  <c r="AD17" i="5"/>
  <c r="AC17" i="5"/>
  <c r="AE16" i="5"/>
  <c r="AD16" i="5"/>
  <c r="AC16" i="5"/>
  <c r="AE15" i="5"/>
  <c r="AD15" i="5"/>
  <c r="AC15" i="5"/>
  <c r="AE14" i="5"/>
  <c r="AD14" i="5"/>
  <c r="AC14" i="5"/>
  <c r="AE13" i="5"/>
  <c r="AD13" i="5"/>
  <c r="AC13" i="5"/>
  <c r="AE12" i="5"/>
  <c r="AD12" i="5"/>
  <c r="AC12" i="5"/>
  <c r="AE11" i="5"/>
  <c r="AD11" i="5"/>
  <c r="AC11" i="5"/>
  <c r="AE10" i="5"/>
  <c r="AD10" i="5"/>
  <c r="AC10" i="5"/>
  <c r="AE9" i="5"/>
  <c r="AD9" i="5"/>
  <c r="AC9" i="5"/>
  <c r="AE8" i="5"/>
  <c r="AD8" i="5"/>
  <c r="AC8" i="5"/>
  <c r="Z6" i="5"/>
  <c r="Y6" i="5"/>
  <c r="V6" i="5"/>
  <c r="U6" i="5"/>
  <c r="T6" i="5"/>
  <c r="S6" i="5"/>
  <c r="O6" i="5"/>
  <c r="J6" i="5"/>
  <c r="K9" i="1" s="1"/>
  <c r="M3" i="7" s="1"/>
  <c r="I6" i="5"/>
  <c r="G6" i="5"/>
  <c r="AE4" i="2"/>
  <c r="AE5" i="2"/>
  <c r="AE6" i="2"/>
  <c r="AE7" i="2"/>
  <c r="AE8" i="2"/>
  <c r="AE9" i="2"/>
  <c r="AE10" i="2"/>
  <c r="AE11" i="2"/>
  <c r="AE12" i="2"/>
  <c r="AE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E3" i="2"/>
  <c r="J1" i="2"/>
  <c r="J9" i="1" s="1"/>
  <c r="M3" i="6" s="1"/>
  <c r="I1" i="2"/>
  <c r="J8" i="1" s="1"/>
  <c r="L3" i="6" s="1"/>
  <c r="AD3" i="2"/>
  <c r="AD4" i="2"/>
  <c r="AD5" i="2"/>
  <c r="AD6" i="2"/>
  <c r="AD7" i="2"/>
  <c r="AD8" i="2"/>
  <c r="AD9" i="2"/>
  <c r="AD10" i="2"/>
  <c r="AD11" i="2"/>
  <c r="AD12" i="2"/>
  <c r="AD13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5" i="2"/>
  <c r="AD96" i="2"/>
  <c r="AD97" i="2"/>
  <c r="AD98" i="2"/>
  <c r="AD99" i="2"/>
  <c r="AD100" i="2"/>
  <c r="AD101" i="2"/>
  <c r="AD102" i="2"/>
  <c r="G1" i="2"/>
  <c r="AC3" i="2"/>
  <c r="AC4" i="2"/>
  <c r="AC5" i="2"/>
  <c r="AC6" i="2"/>
  <c r="AC7" i="2"/>
  <c r="AC8" i="2"/>
  <c r="AC9" i="2"/>
  <c r="AC10" i="2"/>
  <c r="AC11" i="2"/>
  <c r="AC12" i="2"/>
  <c r="AC13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N1" i="2"/>
  <c r="O1" i="2"/>
  <c r="P1" i="2"/>
  <c r="R1" i="2"/>
  <c r="S1" i="2"/>
  <c r="T1" i="2"/>
  <c r="U1" i="2"/>
  <c r="V1" i="2"/>
  <c r="W1" i="2"/>
  <c r="X1" i="2"/>
  <c r="Y1" i="2"/>
  <c r="Z1" i="2"/>
  <c r="M1" i="2"/>
  <c r="B1" i="2"/>
  <c r="C11" i="1" s="1"/>
  <c r="W7" i="6" l="1"/>
  <c r="Q6" i="5"/>
  <c r="K7" i="1" s="1"/>
  <c r="K3" i="7" s="1"/>
  <c r="J7" i="1"/>
  <c r="J6" i="1"/>
  <c r="J3" i="6" s="1"/>
  <c r="K8" i="1"/>
  <c r="L3" i="7" s="1"/>
  <c r="AB6" i="5"/>
  <c r="AB1" i="2"/>
  <c r="J21" i="1" s="1"/>
  <c r="AD6" i="5"/>
  <c r="K6" i="5" s="1"/>
  <c r="K12" i="1" s="1"/>
  <c r="P3" i="7" s="1"/>
  <c r="W6" i="7"/>
  <c r="J19" i="1"/>
  <c r="K19" i="1"/>
  <c r="J20" i="1"/>
  <c r="L8" i="6"/>
  <c r="E8" i="6"/>
  <c r="X21" i="6" s="1"/>
  <c r="X20" i="7" s="1"/>
  <c r="G8" i="6"/>
  <c r="X22" i="6" s="1"/>
  <c r="X21" i="7" s="1"/>
  <c r="K8" i="6"/>
  <c r="AE1" i="2"/>
  <c r="L1" i="2" s="1"/>
  <c r="J13" i="1" s="1"/>
  <c r="M8" i="6"/>
  <c r="N8" i="6"/>
  <c r="X25" i="6" s="1"/>
  <c r="X24" i="7" s="1"/>
  <c r="Q8" i="6"/>
  <c r="D8" i="6"/>
  <c r="O8" i="6"/>
  <c r="X26" i="6" s="1"/>
  <c r="X25" i="7" s="1"/>
  <c r="F8" i="6"/>
  <c r="P8" i="6"/>
  <c r="I8" i="6"/>
  <c r="X24" i="6" s="1"/>
  <c r="X23" i="7" s="1"/>
  <c r="J8" i="6"/>
  <c r="K6" i="1"/>
  <c r="J3" i="7" s="1"/>
  <c r="AE6" i="5"/>
  <c r="L6" i="5" s="1"/>
  <c r="K13" i="1" s="1"/>
  <c r="Q3" i="7" s="1"/>
  <c r="AC6" i="5"/>
  <c r="AC1" i="2"/>
  <c r="AD1" i="2"/>
  <c r="K1" i="2" s="1"/>
  <c r="J12" i="1" s="1"/>
  <c r="F6" i="5" l="1"/>
  <c r="K11" i="1" s="1"/>
  <c r="O3" i="7" s="1"/>
  <c r="F1" i="2"/>
  <c r="J11" i="1" s="1"/>
  <c r="O3" i="6" s="1"/>
  <c r="Y25" i="6"/>
  <c r="AC25" i="6" s="1"/>
  <c r="Y26" i="6"/>
  <c r="AC26" i="6" s="1"/>
  <c r="Y24" i="6"/>
  <c r="AC24" i="6" s="1"/>
  <c r="Y22" i="6"/>
  <c r="AC22" i="6" s="1"/>
  <c r="Y21" i="6"/>
  <c r="AC21" i="6" s="1"/>
  <c r="W8" i="6"/>
  <c r="X20" i="6"/>
  <c r="X19" i="7" s="1"/>
  <c r="G6" i="6"/>
  <c r="N6" i="6"/>
  <c r="D6" i="6"/>
  <c r="K6" i="6"/>
  <c r="K17" i="1"/>
  <c r="K21" i="1" s="1"/>
  <c r="K22" i="1" s="1"/>
  <c r="J22" i="1"/>
  <c r="K3" i="6"/>
  <c r="P3" i="6"/>
  <c r="Q3" i="6"/>
  <c r="Q7" i="7"/>
  <c r="I7" i="7"/>
  <c r="Y23" i="7" s="1"/>
  <c r="AC23" i="7" s="1"/>
  <c r="P7" i="7"/>
  <c r="G7" i="7"/>
  <c r="O7" i="7"/>
  <c r="Y25" i="7" s="1"/>
  <c r="AC25" i="7" s="1"/>
  <c r="N7" i="7"/>
  <c r="E7" i="7"/>
  <c r="Y20" i="7" s="1"/>
  <c r="AC20" i="7" s="1"/>
  <c r="K7" i="7"/>
  <c r="J7" i="7"/>
  <c r="F7" i="7"/>
  <c r="M7" i="7"/>
  <c r="D7" i="7"/>
  <c r="L7" i="7"/>
  <c r="K5" i="7" l="1"/>
  <c r="Y24" i="7"/>
  <c r="AC24" i="7" s="1"/>
  <c r="N5" i="7"/>
  <c r="Y21" i="7"/>
  <c r="AC21" i="7" s="1"/>
  <c r="G5" i="7"/>
  <c r="Y19" i="7"/>
  <c r="AC19" i="7" s="1"/>
  <c r="D5" i="7"/>
  <c r="Y20" i="6"/>
  <c r="AC20" i="6" s="1"/>
  <c r="W29" i="6" s="1"/>
  <c r="A7" i="8"/>
  <c r="A3" i="8"/>
  <c r="W7" i="7"/>
  <c r="W28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<sst xmlns="http://schemas.openxmlformats.org/spreadsheetml/2006/main" count="1126" uniqueCount="229">
  <si>
    <t>version</t>
  </si>
  <si>
    <t>IP Ready - Engineering evaluation - scoring calculator</t>
  </si>
  <si>
    <t>Asset Name</t>
  </si>
  <si>
    <t>Documentations</t>
  </si>
  <si>
    <t>Initial</t>
  </si>
  <si>
    <t>Final</t>
  </si>
  <si>
    <t>Project Health Scores</t>
  </si>
  <si>
    <t>Asset ID</t>
  </si>
  <si>
    <t>Description(Overview, Objective &amp; Business benefit)</t>
  </si>
  <si>
    <r>
      <t xml:space="preserve">Application Security Testing </t>
    </r>
    <r>
      <rPr>
        <sz val="8"/>
        <color theme="1"/>
        <rFont val="Arial"/>
        <family val="2"/>
      </rPr>
      <t>(SAST)</t>
    </r>
  </si>
  <si>
    <t>Asset Classification</t>
  </si>
  <si>
    <t>ReadMe (in repository)</t>
  </si>
  <si>
    <r>
      <t xml:space="preserve">Dependency Compliance </t>
    </r>
    <r>
      <rPr>
        <sz val="8"/>
        <color theme="1"/>
        <rFont val="Arial"/>
        <family val="2"/>
      </rPr>
      <t>(FOSS)</t>
    </r>
  </si>
  <si>
    <t>Jira # IPEOB</t>
  </si>
  <si>
    <t>Architecture diagram</t>
  </si>
  <si>
    <r>
      <t xml:space="preserve">Reliability: Bugs </t>
    </r>
    <r>
      <rPr>
        <sz val="8"/>
        <color theme="1"/>
        <rFont val="Arial"/>
        <family val="2"/>
      </rPr>
      <t>(Sonarqube)</t>
    </r>
  </si>
  <si>
    <t>Release name</t>
  </si>
  <si>
    <t>UI Design</t>
  </si>
  <si>
    <t>Maintainability</t>
  </si>
  <si>
    <t>Assignee</t>
  </si>
  <si>
    <t>Release Notes</t>
  </si>
  <si>
    <t>Documentation</t>
  </si>
  <si>
    <t>Total Repos</t>
  </si>
  <si>
    <t>User Guide/Developer guide</t>
  </si>
  <si>
    <t>Unit Test Coverage</t>
  </si>
  <si>
    <t>Duplication Percentage</t>
  </si>
  <si>
    <t>Initial Evaluation date</t>
  </si>
  <si>
    <t>Comment Density</t>
  </si>
  <si>
    <t>Final Evaluation date</t>
  </si>
  <si>
    <t>Comments</t>
  </si>
  <si>
    <t>Data entry completion status</t>
  </si>
  <si>
    <t>Asset details</t>
  </si>
  <si>
    <t>Scans</t>
  </si>
  <si>
    <t>#</t>
  </si>
  <si>
    <t>Repository Name</t>
  </si>
  <si>
    <t>Technology</t>
  </si>
  <si>
    <t>Readme?</t>
  </si>
  <si>
    <t>Unit tests present?</t>
  </si>
  <si>
    <t>Unit test coverage</t>
  </si>
  <si>
    <t>No of lines</t>
  </si>
  <si>
    <t>SonarQube Project Key</t>
  </si>
  <si>
    <t>Reliability Score</t>
  </si>
  <si>
    <t>Maintainability rating</t>
  </si>
  <si>
    <t>Duplication %</t>
  </si>
  <si>
    <t>Comments (%)</t>
  </si>
  <si>
    <t>SAST (High)</t>
  </si>
  <si>
    <t>SAST (Medium)</t>
  </si>
  <si>
    <t>SAST (Low)</t>
  </si>
  <si>
    <t>FOSS -Security (Critical)</t>
  </si>
  <si>
    <t>FOSS -Security (High)</t>
  </si>
  <si>
    <t>FOSS -Security (Medium)</t>
  </si>
  <si>
    <t>FOSS -Security (Low)</t>
  </si>
  <si>
    <t>FOSS -License (High)</t>
  </si>
  <si>
    <t>FOSS -License (Medium)</t>
  </si>
  <si>
    <t>FOSS -License (Low)</t>
  </si>
  <si>
    <t>Reliability Bug (Blocker)</t>
  </si>
  <si>
    <t>Reliability Bug (Critical)</t>
  </si>
  <si>
    <t>Reliability Bug (Major)</t>
  </si>
  <si>
    <t>Reliability Bug (Minor)</t>
  </si>
  <si>
    <t>Complete?</t>
  </si>
  <si>
    <t>unit test - lines covered</t>
  </si>
  <si>
    <t>duplicated lines</t>
  </si>
  <si>
    <t>commented lines</t>
  </si>
  <si>
    <t>Release</t>
  </si>
  <si>
    <t>Asset initial health score*</t>
  </si>
  <si>
    <t>Application Security Testing (SAST)</t>
  </si>
  <si>
    <t>Dependency Compliance (FOSS)</t>
  </si>
  <si>
    <t>Reliability: Bugs (Sonarqube)</t>
  </si>
  <si>
    <t>Sl.No</t>
  </si>
  <si>
    <t>Repos</t>
  </si>
  <si>
    <t>SAST Result</t>
  </si>
  <si>
    <t>FOSS - Security Risk</t>
  </si>
  <si>
    <t>FOSS - License Risk</t>
  </si>
  <si>
    <t>SonarQube - Reliability Bugs</t>
  </si>
  <si>
    <r>
      <rPr>
        <b/>
        <sz val="9"/>
        <color rgb="FF000000"/>
        <rFont val="Calibri"/>
        <family val="2"/>
      </rPr>
      <t xml:space="preserve">CheckMarx Link </t>
    </r>
    <r>
      <rPr>
        <sz val="8"/>
        <color rgb="FF000000"/>
        <rFont val="Calibri"/>
        <family val="2"/>
      </rPr>
      <t>(Due to user limits, you might not be able to acces. Refer scan PDF report for details)</t>
    </r>
  </si>
  <si>
    <r>
      <rPr>
        <b/>
        <sz val="9"/>
        <color rgb="FF000000"/>
        <rFont val="Calibri"/>
        <family val="2"/>
      </rPr>
      <t xml:space="preserve">BlackDuck link </t>
    </r>
    <r>
      <rPr>
        <sz val="8"/>
        <color rgb="FF000000"/>
        <rFont val="Calibri"/>
        <family val="2"/>
      </rPr>
      <t>(you might need to raise GSD to access, refer email)</t>
    </r>
  </si>
  <si>
    <t>SonarQube link</t>
  </si>
  <si>
    <t>High</t>
  </si>
  <si>
    <t>Medium</t>
  </si>
  <si>
    <t>Low</t>
  </si>
  <si>
    <t>Critical</t>
  </si>
  <si>
    <t>Blocker</t>
  </si>
  <si>
    <t>Major</t>
  </si>
  <si>
    <t>Minor</t>
  </si>
  <si>
    <t>Title</t>
  </si>
  <si>
    <t>Description</t>
  </si>
  <si>
    <t>Asset ID in CodeHub</t>
  </si>
  <si>
    <t>Asset Name in JIRA</t>
  </si>
  <si>
    <t>Evaluation done by</t>
  </si>
  <si>
    <t>Evaluation done on</t>
  </si>
  <si>
    <t>Total repos</t>
  </si>
  <si>
    <t>Maintainability score</t>
  </si>
  <si>
    <t>Documentation rating</t>
  </si>
  <si>
    <t>Unit Test Coverage score</t>
  </si>
  <si>
    <t>README (Check if available in repo)</t>
  </si>
  <si>
    <t>Architectural Diagram(HLD, Deployment)</t>
  </si>
  <si>
    <t>UI design</t>
  </si>
  <si>
    <t>User Guide</t>
  </si>
  <si>
    <t>Historical Release Notes</t>
  </si>
  <si>
    <t>Exception requests</t>
  </si>
  <si>
    <t>FOSS (Critical)</t>
  </si>
  <si>
    <t>FOSS (High)</t>
  </si>
  <si>
    <t>FOSS (Medium)</t>
  </si>
  <si>
    <t>Sonar - Reliability bug (Blocker)</t>
  </si>
  <si>
    <t>Sonar - Reliability bug (Critical)</t>
  </si>
  <si>
    <t>Exceptions</t>
  </si>
  <si>
    <t>False +'s</t>
  </si>
  <si>
    <t>Overview (Description &amp; Objective)</t>
  </si>
  <si>
    <t>SAST (High) - Exceptions</t>
  </si>
  <si>
    <t>SAST (Medium) - Exceptions</t>
  </si>
  <si>
    <t>SAST (High) - False +'s</t>
  </si>
  <si>
    <t>SAST (Medium) - False +'s</t>
  </si>
  <si>
    <t>FOSS (Critical) - Exceptions</t>
  </si>
  <si>
    <t>FOSS (High) - Exceptions</t>
  </si>
  <si>
    <t>FOSS (Medium) - Exceptions</t>
  </si>
  <si>
    <t>FOSS (Critical) - False +'s</t>
  </si>
  <si>
    <t>FOSS (High) - False +'s</t>
  </si>
  <si>
    <t>FOSS (Medium) - False +'s</t>
  </si>
  <si>
    <t>Sonar - Reliability bug (Blocker) - Exceptions</t>
  </si>
  <si>
    <t>Sonar - Reliability bug (Critical) - Exceptions</t>
  </si>
  <si>
    <t>Sonar - Reliability bug (Blocker) - False +'s</t>
  </si>
  <si>
    <t>Sonar - Reliability bug (Critical) - False +'s</t>
  </si>
  <si>
    <t>document count</t>
  </si>
  <si>
    <t>score</t>
  </si>
  <si>
    <t>scores</t>
  </si>
  <si>
    <t>value</t>
  </si>
  <si>
    <t>Comment %</t>
  </si>
  <si>
    <t>Score</t>
  </si>
  <si>
    <t>Class A (Products)</t>
  </si>
  <si>
    <t>A</t>
  </si>
  <si>
    <t>Class B (Reusable Client Deliverables)</t>
  </si>
  <si>
    <t>B</t>
  </si>
  <si>
    <t>Class C (Internal Tools / Accelerators)</t>
  </si>
  <si>
    <t>C</t>
  </si>
  <si>
    <t>Class D (Software Components)</t>
  </si>
  <si>
    <t>D</t>
  </si>
  <si>
    <t>Class E (Cognizant Open Source Software)</t>
  </si>
  <si>
    <t>E</t>
  </si>
  <si>
    <t>No Test</t>
  </si>
  <si>
    <t>NA</t>
  </si>
  <si>
    <t>Error</t>
  </si>
  <si>
    <t>Document</t>
  </si>
  <si>
    <t>Class A</t>
  </si>
  <si>
    <t>Class B</t>
  </si>
  <si>
    <t>Class C</t>
  </si>
  <si>
    <t>Class D</t>
  </si>
  <si>
    <t>Class E</t>
  </si>
  <si>
    <t>Exception cases / Scripts</t>
  </si>
  <si>
    <t>Expected</t>
  </si>
  <si>
    <t>guided mechanisam for capturing effective overview/details</t>
  </si>
  <si>
    <t>ReadMe</t>
  </si>
  <si>
    <t>Architecture diagram/design document</t>
  </si>
  <si>
    <t>Optional</t>
  </si>
  <si>
    <t>Guidance to use CodeHUb's GitHub for active development</t>
  </si>
  <si>
    <t>As applicable</t>
  </si>
  <si>
    <t>Depends</t>
  </si>
  <si>
    <t>For Class E it will depend on type of the asset</t>
  </si>
  <si>
    <t>UI design/Screenshot</t>
  </si>
  <si>
    <t>Issue tracking/backlog</t>
  </si>
  <si>
    <t>CodeHub - Multiple releasae labels on the documents</t>
  </si>
  <si>
    <t>date</t>
  </si>
  <si>
    <t>Change log</t>
  </si>
  <si>
    <t>3.0</t>
  </si>
  <si>
    <t>base version</t>
  </si>
  <si>
    <t>3.1</t>
  </si>
  <si>
    <t>Updated to include UI design doc</t>
  </si>
  <si>
    <t>3.1.1</t>
  </si>
  <si>
    <t>4/5/2023</t>
  </si>
  <si>
    <t>documenation sheet - mandatory to Expected</t>
  </si>
  <si>
    <t>3.1.2</t>
  </si>
  <si>
    <t>User Guide visible to all classes</t>
  </si>
  <si>
    <t>3.1.3</t>
  </si>
  <si>
    <t>Corrected the repo scan date for final</t>
  </si>
  <si>
    <t>3.2</t>
  </si>
  <si>
    <t>1. Added Critical risk colum for FOSS security
2. Added NA option for Unit tests</t>
  </si>
  <si>
    <t>3.2.1</t>
  </si>
  <si>
    <t>Not supported text for NA values in scans</t>
  </si>
  <si>
    <t>3.2.2</t>
  </si>
  <si>
    <t>Document lookup to cover 6 documents</t>
  </si>
  <si>
    <t>3.2.3</t>
  </si>
  <si>
    <t>added release section in email tables</t>
  </si>
  <si>
    <t>scan config updated</t>
  </si>
  <si>
    <t>remediation started date</t>
  </si>
  <si>
    <t>initial</t>
  </si>
  <si>
    <t>final</t>
  </si>
  <si>
    <t>SAST-High</t>
  </si>
  <si>
    <t>SAST-Medium</t>
  </si>
  <si>
    <t>FOSS-Critical</t>
  </si>
  <si>
    <t>FOSS-High</t>
  </si>
  <si>
    <t>FOSS-Medium</t>
  </si>
  <si>
    <t>Sonar-Blocker</t>
  </si>
  <si>
    <t>Sonar-Critical</t>
  </si>
  <si>
    <t>3.2.4</t>
  </si>
  <si>
    <t>1. added data collection format for remediation.
2. corrected the final documentation upload check.</t>
  </si>
  <si>
    <t>3.2.5</t>
  </si>
  <si>
    <t>added data collection format for final scan</t>
  </si>
  <si>
    <t>No</t>
  </si>
  <si>
    <t>Scan Reports</t>
  </si>
  <si>
    <t>3.2.6</t>
  </si>
  <si>
    <t>Removed "Sharepoint path" from scan reports</t>
  </si>
  <si>
    <t>3.2.7</t>
  </si>
  <si>
    <t>corrected the unit test scoring for 0% coverage</t>
  </si>
  <si>
    <t>Cognizant® Integrated Quality Dashboard</t>
  </si>
  <si>
    <t>IPR000670</t>
  </si>
  <si>
    <t>IPEOB-2865</t>
  </si>
  <si>
    <t>Akhila</t>
  </si>
  <si>
    <t>Yes</t>
  </si>
  <si>
    <t>ciqdashboard-ui</t>
  </si>
  <si>
    <t>ciqdashboard-api</t>
  </si>
  <si>
    <t>ciqdashboard-auth</t>
  </si>
  <si>
    <t>ciqdashboard-metric-services</t>
  </si>
  <si>
    <t>ciqdashboard-collector-jira</t>
  </si>
  <si>
    <t>SAST LINK</t>
  </si>
  <si>
    <t>BDH LINK</t>
  </si>
  <si>
    <t>Java</t>
  </si>
  <si>
    <t>TypeScript</t>
  </si>
  <si>
    <t>auth-api</t>
  </si>
  <si>
    <t>metric-service-api</t>
  </si>
  <si>
    <t>ciqdashboard-collector-github</t>
  </si>
  <si>
    <t>ciqdashboard-collector-jenkins</t>
  </si>
  <si>
    <t>ciqdashboard-collector-alm</t>
  </si>
  <si>
    <t>ciqdashboard-collector-rally</t>
  </si>
  <si>
    <t>IPR000670_ciqdashboard-collector-jira-xray-cloud</t>
  </si>
  <si>
    <t>ciqdashboard-collector-jira-zephyr-cloud</t>
  </si>
  <si>
    <t>IPR000670_ciqdashboard-collector-jira-zephyr-xray-cloud</t>
  </si>
  <si>
    <t>IPR000670_ciqdashboard-collector-jira-zephyrscale</t>
  </si>
  <si>
    <t>IPR000670_ciqdashboard-collector-jira-zephyr-xray-clou</t>
  </si>
  <si>
    <t>ciqdashboard-collector-jira-Zephyrscale</t>
  </si>
  <si>
    <t>Codehub 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</si>
</sst>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3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i/>
      <sz val="10"/>
      <color theme="1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8"/>
      <color theme="1"/>
      <name val="Arial"/>
      <family val="2"/>
    </font>
    <font>
      <b/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Calibri"/>
      <family val="2"/>
    </font>
    <font>
      <sz val="8"/>
      <color rgb="FF000000"/>
      <name val="Calibri"/>
      <family val="2"/>
    </font>
    <font>
      <i/>
      <sz val="9"/>
      <color theme="1"/>
      <name val="Calibri"/>
      <family val="2"/>
      <scheme val="minor"/>
    </font>
    <font>
      <i/>
      <sz val="9"/>
      <color theme="0"/>
      <name val="Calibri"/>
      <family val="2"/>
      <scheme val="minor"/>
    </font>
    <font>
      <sz val="10"/>
      <color theme="0"/>
      <name val="Arial"/>
      <family val="2"/>
    </font>
    <font>
      <b/>
      <sz val="9"/>
      <name val="Calibri"/>
      <family val="2"/>
      <scheme val="minor"/>
    </font>
    <font>
      <b/>
      <sz val="18"/>
      <color theme="1"/>
      <name val="Arial"/>
      <family val="2"/>
    </font>
    <font>
      <b/>
      <sz val="20"/>
      <color theme="1"/>
      <name val="Arial"/>
      <family val="2"/>
    </font>
    <font>
      <sz val="7"/>
      <color rgb="FF172B4D"/>
      <name val="Segoe UI"/>
      <family val="2"/>
    </font>
    <font>
      <sz val="8"/>
      <color theme="1"/>
      <name val="Roboto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Segoe UI"/>
      <family val="2"/>
    </font>
    <font>
      <sz val="8"/>
      <color rgb="FF0033A0"/>
      <name val="Roboto"/>
    </font>
    <font>
      <sz val="8"/>
      <color rgb="FF333333"/>
      <name val="Arial"/>
      <family val="2"/>
    </font>
    <font>
      <sz val="8"/>
      <color rgb="FF333333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/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/>
      <bottom style="thin">
        <color theme="2" tint="-0.49998474074526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medium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medium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medium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medium">
        <color theme="1" tint="0.499984740745262"/>
      </left>
      <right style="thin">
        <color theme="1" tint="0.499984740745262"/>
      </right>
      <top/>
      <bottom style="medium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medium">
        <color theme="1" tint="0.499984740745262"/>
      </bottom>
      <diagonal/>
    </border>
    <border>
      <left style="thin">
        <color theme="1" tint="0.499984740745262"/>
      </left>
      <right/>
      <top style="medium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medium">
        <color theme="1" tint="0.499984740745262"/>
      </bottom>
      <diagonal/>
    </border>
    <border>
      <left/>
      <right style="thin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medium">
        <color theme="1" tint="0.499984740745262"/>
      </top>
      <bottom style="thin">
        <color theme="1" tint="0.499984740745262"/>
      </bottom>
      <diagonal/>
    </border>
    <border>
      <left/>
      <right style="medium">
        <color theme="1" tint="0.499984740745262"/>
      </right>
      <top style="medium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26" fillId="0" borderId="0" applyNumberFormat="0" applyFill="0" applyBorder="0" applyAlignment="0" applyProtection="0"/>
  </cellStyleXfs>
  <cellXfs count="180">
    <xf numFmtId="0" fontId="0" fillId="0" borderId="0" xfId="0"/>
    <xf numFmtId="0" fontId="1" fillId="0" borderId="0" xfId="0" applyFont="1"/>
    <xf numFmtId="0" fontId="1" fillId="2" borderId="0" xfId="0" applyFont="1" applyFill="1"/>
    <xf numFmtId="0" fontId="6" fillId="2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6" fillId="4" borderId="4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7" fillId="9" borderId="4" xfId="0" applyFont="1" applyFill="1" applyBorder="1" applyAlignment="1">
      <alignment horizontal="center" vertical="center" wrapText="1"/>
    </xf>
    <xf numFmtId="0" fontId="7" fillId="10" borderId="4" xfId="0" applyFont="1" applyFill="1" applyBorder="1" applyAlignment="1">
      <alignment horizontal="center" vertical="center" wrapText="1"/>
    </xf>
    <xf numFmtId="0" fontId="2" fillId="0" borderId="6" xfId="0" applyFont="1" applyBorder="1"/>
    <xf numFmtId="0" fontId="1" fillId="2" borderId="0" xfId="0" applyFont="1" applyFill="1" applyAlignment="1">
      <alignment horizontal="left"/>
    </xf>
    <xf numFmtId="0" fontId="2" fillId="7" borderId="8" xfId="0" applyFont="1" applyFill="1" applyBorder="1" applyAlignment="1">
      <alignment horizontal="center"/>
    </xf>
    <xf numFmtId="0" fontId="2" fillId="12" borderId="8" xfId="0" applyFont="1" applyFill="1" applyBorder="1" applyAlignment="1">
      <alignment horizontal="center"/>
    </xf>
    <xf numFmtId="0" fontId="2" fillId="7" borderId="1" xfId="0" applyFont="1" applyFill="1" applyBorder="1"/>
    <xf numFmtId="0" fontId="2" fillId="12" borderId="1" xfId="0" applyFont="1" applyFill="1" applyBorder="1"/>
    <xf numFmtId="0" fontId="4" fillId="2" borderId="0" xfId="0" applyFont="1" applyFill="1" applyAlignment="1">
      <alignment horizontal="left" inden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9" fontId="0" fillId="0" borderId="0" xfId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13" borderId="8" xfId="0" applyFont="1" applyFill="1" applyBorder="1" applyAlignment="1">
      <alignment horizontal="center"/>
    </xf>
    <xf numFmtId="164" fontId="4" fillId="13" borderId="1" xfId="0" applyNumberFormat="1" applyFont="1" applyFill="1" applyBorder="1" applyAlignment="1">
      <alignment horizontal="left" indent="1"/>
    </xf>
    <xf numFmtId="0" fontId="5" fillId="3" borderId="1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 wrapText="1"/>
    </xf>
    <xf numFmtId="9" fontId="0" fillId="0" borderId="0" xfId="0" applyNumberFormat="1" applyAlignment="1">
      <alignment horizontal="center"/>
    </xf>
    <xf numFmtId="9" fontId="0" fillId="0" borderId="0" xfId="1" applyFont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11" borderId="9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1" fillId="3" borderId="2" xfId="0" applyFont="1" applyFill="1" applyBorder="1"/>
    <xf numFmtId="0" fontId="2" fillId="14" borderId="2" xfId="0" applyFont="1" applyFill="1" applyBorder="1"/>
    <xf numFmtId="0" fontId="3" fillId="14" borderId="1" xfId="0" applyFont="1" applyFill="1" applyBorder="1"/>
    <xf numFmtId="0" fontId="0" fillId="0" borderId="10" xfId="0" applyBorder="1" applyAlignment="1">
      <alignment horizontal="center"/>
    </xf>
    <xf numFmtId="0" fontId="10" fillId="7" borderId="11" xfId="0" applyFont="1" applyFill="1" applyBorder="1" applyAlignment="1">
      <alignment horizontal="center" vertical="center" wrapText="1"/>
    </xf>
    <xf numFmtId="0" fontId="10" fillId="8" borderId="11" xfId="0" applyFont="1" applyFill="1" applyBorder="1" applyAlignment="1">
      <alignment horizontal="center" vertical="center" wrapText="1"/>
    </xf>
    <xf numFmtId="0" fontId="10" fillId="10" borderId="11" xfId="0" applyFont="1" applyFill="1" applyBorder="1" applyAlignment="1">
      <alignment horizontal="center" vertical="center" wrapText="1"/>
    </xf>
    <xf numFmtId="0" fontId="9" fillId="3" borderId="8" xfId="0" applyFont="1" applyFill="1" applyBorder="1"/>
    <xf numFmtId="0" fontId="10" fillId="7" borderId="12" xfId="0" applyFont="1" applyFill="1" applyBorder="1" applyAlignment="1">
      <alignment horizontal="center" vertical="center" wrapText="1"/>
    </xf>
    <xf numFmtId="0" fontId="9" fillId="14" borderId="8" xfId="0" applyFont="1" applyFill="1" applyBorder="1" applyAlignment="1">
      <alignment vertical="center" wrapText="1"/>
    </xf>
    <xf numFmtId="0" fontId="0" fillId="13" borderId="8" xfId="0" applyFill="1" applyBorder="1" applyAlignment="1">
      <alignment horizontal="center" vertical="center"/>
    </xf>
    <xf numFmtId="0" fontId="0" fillId="15" borderId="8" xfId="0" applyFill="1" applyBorder="1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center"/>
    </xf>
    <xf numFmtId="9" fontId="0" fillId="2" borderId="0" xfId="1" applyFont="1" applyFill="1" applyAlignment="1">
      <alignment horizontal="center"/>
    </xf>
    <xf numFmtId="0" fontId="7" fillId="0" borderId="0" xfId="0" applyFont="1"/>
    <xf numFmtId="0" fontId="12" fillId="16" borderId="8" xfId="0" applyFont="1" applyFill="1" applyBorder="1" applyAlignment="1">
      <alignment horizontal="center" vertical="center" textRotation="90" wrapText="1"/>
    </xf>
    <xf numFmtId="0" fontId="12" fillId="0" borderId="0" xfId="0" applyFont="1" applyAlignment="1">
      <alignment vertical="center"/>
    </xf>
    <xf numFmtId="1" fontId="12" fillId="16" borderId="19" xfId="0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0" fontId="7" fillId="0" borderId="21" xfId="0" applyFont="1" applyBorder="1" applyAlignment="1">
      <alignment horizontal="center"/>
    </xf>
    <xf numFmtId="1" fontId="7" fillId="0" borderId="21" xfId="0" applyNumberFormat="1" applyFont="1" applyBorder="1" applyAlignment="1">
      <alignment horizontal="center"/>
    </xf>
    <xf numFmtId="0" fontId="7" fillId="19" borderId="8" xfId="0" applyFont="1" applyFill="1" applyBorder="1" applyAlignment="1">
      <alignment horizontal="center"/>
    </xf>
    <xf numFmtId="1" fontId="7" fillId="19" borderId="8" xfId="0" applyNumberFormat="1" applyFont="1" applyFill="1" applyBorder="1" applyAlignment="1">
      <alignment horizontal="center"/>
    </xf>
    <xf numFmtId="0" fontId="7" fillId="0" borderId="8" xfId="0" applyFont="1" applyBorder="1" applyAlignment="1">
      <alignment horizontal="center"/>
    </xf>
    <xf numFmtId="1" fontId="7" fillId="0" borderId="8" xfId="0" applyNumberFormat="1" applyFont="1" applyBorder="1" applyAlignment="1">
      <alignment horizontal="center"/>
    </xf>
    <xf numFmtId="0" fontId="7" fillId="0" borderId="0" xfId="0" applyFont="1" applyAlignment="1">
      <alignment horizontal="center"/>
    </xf>
    <xf numFmtId="0" fontId="12" fillId="21" borderId="13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 textRotation="90" wrapText="1"/>
    </xf>
    <xf numFmtId="0" fontId="13" fillId="6" borderId="19" xfId="0" applyFont="1" applyFill="1" applyBorder="1" applyAlignment="1">
      <alignment horizontal="center" vertical="center"/>
    </xf>
    <xf numFmtId="0" fontId="2" fillId="14" borderId="8" xfId="0" applyFont="1" applyFill="1" applyBorder="1"/>
    <xf numFmtId="0" fontId="1" fillId="3" borderId="8" xfId="0" applyFont="1" applyFill="1" applyBorder="1"/>
    <xf numFmtId="0" fontId="11" fillId="6" borderId="8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0" fontId="1" fillId="2" borderId="8" xfId="0" applyFont="1" applyFill="1" applyBorder="1"/>
    <xf numFmtId="0" fontId="2" fillId="24" borderId="2" xfId="0" applyFont="1" applyFill="1" applyBorder="1"/>
    <xf numFmtId="0" fontId="1" fillId="6" borderId="2" xfId="0" applyFont="1" applyFill="1" applyBorder="1"/>
    <xf numFmtId="0" fontId="18" fillId="2" borderId="0" xfId="0" applyFont="1" applyFill="1"/>
    <xf numFmtId="0" fontId="4" fillId="3" borderId="16" xfId="0" applyFont="1" applyFill="1" applyBorder="1" applyAlignment="1">
      <alignment horizontal="center" vertical="center" textRotation="90" wrapText="1"/>
    </xf>
    <xf numFmtId="0" fontId="4" fillId="3" borderId="17" xfId="0" applyFont="1" applyFill="1" applyBorder="1" applyAlignment="1">
      <alignment horizontal="center" vertical="center" textRotation="90" wrapText="1"/>
    </xf>
    <xf numFmtId="0" fontId="13" fillId="6" borderId="18" xfId="0" applyFont="1" applyFill="1" applyBorder="1" applyAlignment="1">
      <alignment horizontal="center" vertical="center"/>
    </xf>
    <xf numFmtId="0" fontId="13" fillId="6" borderId="20" xfId="0" applyFont="1" applyFill="1" applyBorder="1" applyAlignment="1">
      <alignment horizontal="center" vertical="center"/>
    </xf>
    <xf numFmtId="0" fontId="0" fillId="25" borderId="0" xfId="0" applyFill="1" applyAlignment="1">
      <alignment wrapText="1"/>
    </xf>
    <xf numFmtId="14" fontId="0" fillId="0" borderId="0" xfId="0" applyNumberFormat="1"/>
    <xf numFmtId="0" fontId="19" fillId="4" borderId="31" xfId="0" applyFont="1" applyFill="1" applyBorder="1" applyAlignment="1">
      <alignment horizontal="center" vertical="center" wrapText="1"/>
    </xf>
    <xf numFmtId="0" fontId="10" fillId="7" borderId="31" xfId="0" applyFont="1" applyFill="1" applyBorder="1" applyAlignment="1">
      <alignment horizontal="center" vertical="center" wrapText="1"/>
    </xf>
    <xf numFmtId="0" fontId="10" fillId="8" borderId="31" xfId="0" applyFont="1" applyFill="1" applyBorder="1" applyAlignment="1">
      <alignment horizontal="center" vertical="center" wrapText="1"/>
    </xf>
    <xf numFmtId="0" fontId="10" fillId="9" borderId="31" xfId="0" applyFont="1" applyFill="1" applyBorder="1" applyAlignment="1">
      <alignment horizontal="center" vertical="center" wrapText="1"/>
    </xf>
    <xf numFmtId="0" fontId="10" fillId="10" borderId="31" xfId="0" applyFont="1" applyFill="1" applyBorder="1" applyAlignment="1">
      <alignment horizontal="center" vertical="center" wrapText="1"/>
    </xf>
    <xf numFmtId="0" fontId="0" fillId="0" borderId="0" xfId="0" applyAlignment="1">
      <alignment horizontal="left" wrapText="1"/>
    </xf>
    <xf numFmtId="0" fontId="0" fillId="26" borderId="0" xfId="0" applyFill="1" applyAlignment="1">
      <alignment horizontal="center" wrapText="1"/>
    </xf>
    <xf numFmtId="0" fontId="0" fillId="11" borderId="7" xfId="0" applyFill="1" applyBorder="1" applyAlignment="1">
      <alignment horizontal="center"/>
    </xf>
    <xf numFmtId="0" fontId="0" fillId="27" borderId="0" xfId="0" applyFill="1" applyAlignment="1">
      <alignment horizontal="center"/>
    </xf>
    <xf numFmtId="0" fontId="0" fillId="27" borderId="0" xfId="0" applyFill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3" borderId="2" xfId="0" applyFont="1" applyFill="1" applyBorder="1" applyAlignment="1">
      <alignment wrapText="1"/>
    </xf>
    <xf numFmtId="0" fontId="19" fillId="4" borderId="32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/>
    </xf>
    <xf numFmtId="0" fontId="7" fillId="0" borderId="21" xfId="0" applyFont="1" applyBorder="1" applyAlignment="1">
      <alignment horizontal="left"/>
    </xf>
    <xf numFmtId="0" fontId="7" fillId="19" borderId="8" xfId="0" applyFont="1" applyFill="1" applyBorder="1" applyAlignment="1">
      <alignment horizontal="left"/>
    </xf>
    <xf numFmtId="0" fontId="20" fillId="2" borderId="0" xfId="0" applyFont="1" applyFill="1" applyAlignment="1">
      <alignment vertical="center"/>
    </xf>
    <xf numFmtId="0" fontId="3" fillId="2" borderId="8" xfId="0" applyFont="1" applyFill="1" applyBorder="1"/>
    <xf numFmtId="49" fontId="0" fillId="0" borderId="0" xfId="0" applyNumberFormat="1"/>
    <xf numFmtId="0" fontId="1" fillId="2" borderId="0" xfId="0" applyFont="1" applyFill="1" applyAlignment="1">
      <alignment horizontal="right"/>
    </xf>
    <xf numFmtId="0" fontId="10" fillId="8" borderId="32" xfId="0" applyFont="1" applyFill="1" applyBorder="1" applyAlignment="1">
      <alignment horizontal="center" vertical="center" wrapText="1"/>
    </xf>
    <xf numFmtId="0" fontId="12" fillId="22" borderId="14" xfId="0" applyFont="1" applyFill="1" applyBorder="1" applyAlignment="1">
      <alignment vertical="center"/>
    </xf>
    <xf numFmtId="0" fontId="12" fillId="22" borderId="14" xfId="0" applyFont="1" applyFill="1" applyBorder="1" applyAlignment="1">
      <alignment horizontal="left" vertical="center"/>
    </xf>
    <xf numFmtId="0" fontId="27" fillId="0" borderId="0" xfId="0" applyFont="1"/>
    <xf numFmtId="0" fontId="27" fillId="0" borderId="0" xfId="0" applyFont="1" applyAlignment="1">
      <alignment horizontal="center"/>
    </xf>
    <xf numFmtId="1" fontId="27" fillId="0" borderId="0" xfId="0" applyNumberFormat="1" applyFont="1" applyAlignment="1">
      <alignment horizontal="center"/>
    </xf>
    <xf numFmtId="1" fontId="7" fillId="0" borderId="0" xfId="0" applyNumberFormat="1" applyFont="1"/>
    <xf numFmtId="0" fontId="9" fillId="28" borderId="0" xfId="0" applyFont="1" applyFill="1"/>
    <xf numFmtId="0" fontId="27" fillId="14" borderId="0" xfId="0" applyFont="1" applyFill="1"/>
    <xf numFmtId="164" fontId="27" fillId="14" borderId="0" xfId="0" applyNumberFormat="1" applyFont="1" applyFill="1"/>
    <xf numFmtId="0" fontId="27" fillId="5" borderId="0" xfId="0" applyFont="1" applyFill="1"/>
    <xf numFmtId="0" fontId="2" fillId="3" borderId="2" xfId="0" applyFont="1" applyFill="1" applyBorder="1"/>
    <xf numFmtId="0" fontId="22" fillId="0" borderId="8" xfId="0" applyFont="1" applyBorder="1"/>
    <xf numFmtId="0" fontId="4" fillId="13" borderId="8" xfId="0" applyFont="1" applyFill="1" applyBorder="1" applyAlignment="1">
      <alignment horizontal="left" indent="1"/>
    </xf>
    <xf numFmtId="0" fontId="23" fillId="0" borderId="8" xfId="0" applyFont="1" applyBorder="1"/>
    <xf numFmtId="1" fontId="4" fillId="2" borderId="8" xfId="0" applyNumberFormat="1" applyFont="1" applyFill="1" applyBorder="1" applyAlignment="1">
      <alignment horizontal="left" indent="1"/>
    </xf>
    <xf numFmtId="0" fontId="28" fillId="0" borderId="0" xfId="0" applyFont="1" applyAlignment="1">
      <alignment vertical="center" wrapText="1"/>
    </xf>
    <xf numFmtId="0" fontId="29" fillId="0" borderId="0" xfId="0" applyFont="1"/>
    <xf numFmtId="0" fontId="29" fillId="0" borderId="0" xfId="0" applyFont="1" applyAlignment="1">
      <alignment horizontal="left" vertical="center"/>
    </xf>
    <xf numFmtId="0" fontId="26" fillId="0" borderId="0" xfId="2"/>
    <xf numFmtId="0" fontId="30" fillId="0" borderId="0" xfId="0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26" fillId="0" borderId="8" xfId="2" applyBorder="1" applyAlignment="1">
      <alignment horizontal="center"/>
    </xf>
    <xf numFmtId="0" fontId="26" fillId="19" borderId="8" xfId="2" applyFill="1" applyBorder="1" applyAlignment="1">
      <alignment horizontal="center"/>
    </xf>
    <xf numFmtId="0" fontId="4" fillId="13" borderId="2" xfId="0" applyFont="1" applyFill="1" applyBorder="1" applyAlignment="1">
      <alignment horizontal="left"/>
    </xf>
    <xf numFmtId="0" fontId="4" fillId="13" borderId="5" xfId="0" applyFont="1" applyFill="1" applyBorder="1" applyAlignment="1">
      <alignment horizontal="left"/>
    </xf>
    <xf numFmtId="0" fontId="4" fillId="13" borderId="3" xfId="0" applyFont="1" applyFill="1" applyBorder="1" applyAlignment="1">
      <alignment horizontal="left"/>
    </xf>
    <xf numFmtId="0" fontId="21" fillId="2" borderId="0" xfId="0" applyFont="1" applyFill="1" applyAlignment="1">
      <alignment horizontal="center" vertical="center"/>
    </xf>
    <xf numFmtId="0" fontId="12" fillId="23" borderId="22" xfId="0" applyFont="1" applyFill="1" applyBorder="1" applyAlignment="1">
      <alignment horizontal="center" vertical="center"/>
    </xf>
    <xf numFmtId="0" fontId="10" fillId="9" borderId="14" xfId="0" applyFont="1" applyFill="1" applyBorder="1" applyAlignment="1">
      <alignment horizontal="center" vertical="center"/>
    </xf>
    <xf numFmtId="0" fontId="14" fillId="20" borderId="14" xfId="0" applyFont="1" applyFill="1" applyBorder="1" applyAlignment="1">
      <alignment horizontal="left" vertical="center" wrapText="1"/>
    </xf>
    <xf numFmtId="0" fontId="14" fillId="20" borderId="8" xfId="0" applyFont="1" applyFill="1" applyBorder="1" applyAlignment="1">
      <alignment horizontal="left" vertical="center" wrapText="1"/>
    </xf>
    <xf numFmtId="0" fontId="14" fillId="20" borderId="19" xfId="0" applyFont="1" applyFill="1" applyBorder="1" applyAlignment="1">
      <alignment horizontal="left" vertical="center" wrapText="1"/>
    </xf>
    <xf numFmtId="0" fontId="14" fillId="20" borderId="15" xfId="0" applyFont="1" applyFill="1" applyBorder="1" applyAlignment="1">
      <alignment horizontal="left" vertical="center" wrapText="1"/>
    </xf>
    <xf numFmtId="0" fontId="14" fillId="20" borderId="17" xfId="0" applyFont="1" applyFill="1" applyBorder="1" applyAlignment="1">
      <alignment horizontal="left" vertical="center" wrapText="1"/>
    </xf>
    <xf numFmtId="0" fontId="14" fillId="20" borderId="20" xfId="0" applyFont="1" applyFill="1" applyBorder="1" applyAlignment="1">
      <alignment horizontal="left" vertical="center" wrapText="1"/>
    </xf>
    <xf numFmtId="0" fontId="16" fillId="0" borderId="8" xfId="0" applyFont="1" applyBorder="1" applyAlignment="1">
      <alignment horizontal="center" vertical="center"/>
    </xf>
    <xf numFmtId="0" fontId="12" fillId="20" borderId="13" xfId="0" applyFont="1" applyFill="1" applyBorder="1" applyAlignment="1">
      <alignment horizontal="center" vertical="center"/>
    </xf>
    <xf numFmtId="0" fontId="12" fillId="20" borderId="16" xfId="0" applyFont="1" applyFill="1" applyBorder="1" applyAlignment="1">
      <alignment horizontal="center" vertical="center"/>
    </xf>
    <xf numFmtId="0" fontId="12" fillId="20" borderId="18" xfId="0" applyFont="1" applyFill="1" applyBorder="1" applyAlignment="1">
      <alignment horizontal="center" vertical="center"/>
    </xf>
    <xf numFmtId="0" fontId="12" fillId="20" borderId="14" xfId="0" applyFont="1" applyFill="1" applyBorder="1" applyAlignment="1">
      <alignment horizontal="center" vertical="center"/>
    </xf>
    <xf numFmtId="0" fontId="12" fillId="20" borderId="8" xfId="0" applyFont="1" applyFill="1" applyBorder="1" applyAlignment="1">
      <alignment horizontal="center" vertical="center"/>
    </xf>
    <xf numFmtId="0" fontId="12" fillId="20" borderId="19" xfId="0" applyFont="1" applyFill="1" applyBorder="1" applyAlignment="1">
      <alignment horizontal="center" vertical="center"/>
    </xf>
    <xf numFmtId="0" fontId="12" fillId="5" borderId="14" xfId="0" applyFont="1" applyFill="1" applyBorder="1" applyAlignment="1">
      <alignment horizontal="center" vertical="center"/>
    </xf>
    <xf numFmtId="0" fontId="12" fillId="17" borderId="14" xfId="0" applyFont="1" applyFill="1" applyBorder="1" applyAlignment="1">
      <alignment horizontal="center" vertical="center"/>
    </xf>
    <xf numFmtId="0" fontId="10" fillId="18" borderId="14" xfId="0" applyFont="1" applyFill="1" applyBorder="1" applyAlignment="1">
      <alignment horizontal="center" vertical="center"/>
    </xf>
    <xf numFmtId="0" fontId="12" fillId="14" borderId="14" xfId="0" applyFont="1" applyFill="1" applyBorder="1" applyAlignment="1">
      <alignment horizontal="center"/>
    </xf>
    <xf numFmtId="0" fontId="12" fillId="20" borderId="29" xfId="0" applyFont="1" applyFill="1" applyBorder="1" applyAlignment="1">
      <alignment horizontal="center" vertical="center"/>
    </xf>
    <xf numFmtId="0" fontId="12" fillId="20" borderId="15" xfId="0" applyFont="1" applyFill="1" applyBorder="1" applyAlignment="1">
      <alignment horizontal="center" vertical="center"/>
    </xf>
    <xf numFmtId="0" fontId="12" fillId="21" borderId="23" xfId="0" applyFont="1" applyFill="1" applyBorder="1" applyAlignment="1">
      <alignment horizontal="center" vertical="center"/>
    </xf>
    <xf numFmtId="0" fontId="12" fillId="21" borderId="24" xfId="0" applyFont="1" applyFill="1" applyBorder="1" applyAlignment="1">
      <alignment horizontal="center" vertical="center"/>
    </xf>
    <xf numFmtId="0" fontId="13" fillId="22" borderId="8" xfId="0" applyFont="1" applyFill="1" applyBorder="1" applyAlignment="1">
      <alignment horizontal="left" vertical="center" indent="1"/>
    </xf>
    <xf numFmtId="0" fontId="13" fillId="22" borderId="27" xfId="0" applyFont="1" applyFill="1" applyBorder="1" applyAlignment="1">
      <alignment horizontal="left" vertical="center" indent="1"/>
    </xf>
    <xf numFmtId="0" fontId="13" fillId="22" borderId="19" xfId="0" applyFont="1" applyFill="1" applyBorder="1" applyAlignment="1">
      <alignment horizontal="left" vertical="center" indent="1"/>
    </xf>
    <xf numFmtId="0" fontId="13" fillId="22" borderId="28" xfId="0" applyFont="1" applyFill="1" applyBorder="1" applyAlignment="1">
      <alignment horizontal="left" vertical="center" indent="1"/>
    </xf>
    <xf numFmtId="0" fontId="26" fillId="0" borderId="30" xfId="2" applyBorder="1" applyAlignment="1">
      <alignment horizontal="center" vertical="center" wrapText="1"/>
    </xf>
    <xf numFmtId="0" fontId="26" fillId="0" borderId="8" xfId="2" applyBorder="1" applyAlignment="1">
      <alignment horizontal="center" vertical="center" wrapText="1"/>
    </xf>
    <xf numFmtId="0" fontId="26" fillId="0" borderId="17" xfId="2" applyBorder="1" applyAlignment="1">
      <alignment horizontal="center" vertical="center" wrapText="1"/>
    </xf>
    <xf numFmtId="0" fontId="26" fillId="0" borderId="25" xfId="2" applyBorder="1" applyAlignment="1">
      <alignment horizontal="center" vertical="center" wrapText="1"/>
    </xf>
    <xf numFmtId="0" fontId="26" fillId="0" borderId="19" xfId="2" applyBorder="1" applyAlignment="1">
      <alignment horizontal="center" vertical="center" wrapText="1"/>
    </xf>
    <xf numFmtId="0" fontId="26" fillId="0" borderId="20" xfId="2" applyBorder="1" applyAlignment="1">
      <alignment horizontal="center" vertical="center" wrapText="1"/>
    </xf>
    <xf numFmtId="0" fontId="12" fillId="22" borderId="26" xfId="0" applyFont="1" applyFill="1" applyBorder="1" applyAlignment="1">
      <alignment horizontal="left" vertical="center"/>
    </xf>
    <xf numFmtId="0" fontId="12" fillId="22" borderId="34" xfId="0" applyFont="1" applyFill="1" applyBorder="1" applyAlignment="1">
      <alignment horizontal="left" vertical="center"/>
    </xf>
    <xf numFmtId="0" fontId="12" fillId="22" borderId="29" xfId="0" applyFont="1" applyFill="1" applyBorder="1" applyAlignment="1">
      <alignment horizontal="left" vertical="center"/>
    </xf>
    <xf numFmtId="0" fontId="12" fillId="14" borderId="13" xfId="0" applyFont="1" applyFill="1" applyBorder="1" applyAlignment="1">
      <alignment horizontal="center"/>
    </xf>
    <xf numFmtId="0" fontId="12" fillId="14" borderId="15" xfId="0" applyFont="1" applyFill="1" applyBorder="1" applyAlignment="1">
      <alignment horizontal="center"/>
    </xf>
    <xf numFmtId="0" fontId="7" fillId="0" borderId="30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25" xfId="0" applyFont="1" applyBorder="1" applyAlignment="1">
      <alignment horizontal="center" vertical="center" wrapText="1"/>
    </xf>
    <xf numFmtId="0" fontId="7" fillId="0" borderId="19" xfId="0" applyFont="1" applyBorder="1" applyAlignment="1">
      <alignment horizontal="center" vertical="center" wrapText="1"/>
    </xf>
    <xf numFmtId="0" fontId="7" fillId="0" borderId="20" xfId="0" applyFont="1" applyBorder="1" applyAlignment="1">
      <alignment horizontal="center" vertical="center" wrapText="1"/>
    </xf>
    <xf numFmtId="0" fontId="12" fillId="22" borderId="26" xfId="0" applyFont="1" applyFill="1" applyBorder="1" applyAlignment="1">
      <alignment horizontal="center" vertical="center"/>
    </xf>
    <xf numFmtId="0" fontId="12" fillId="22" borderId="34" xfId="0" applyFont="1" applyFill="1" applyBorder="1" applyAlignment="1">
      <alignment horizontal="center" vertical="center"/>
    </xf>
    <xf numFmtId="0" fontId="12" fillId="22" borderId="35" xfId="0" applyFont="1" applyFill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16" fillId="0" borderId="33" xfId="0" applyFont="1" applyBorder="1" applyAlignment="1">
      <alignment horizontal="center" vertical="center"/>
    </xf>
    <xf numFmtId="0" fontId="16" fillId="0" borderId="30" xfId="0" applyFont="1" applyBorder="1" applyAlignment="1">
      <alignment horizontal="center" vertical="center"/>
    </xf>
    <xf numFmtId="0" fontId="17" fillId="0" borderId="27" xfId="0" applyFont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17" fillId="0" borderId="30" xfId="0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26" fillId="0" borderId="21" xfId="2" applyBorder="1" applyAlignment="1">
      <alignment horizontal="center"/>
    </xf>
  </cellXfs>
  <cellStyles count="3">
    <cellStyle name="Hyperlink" xfId="2" builtinId="8"/>
    <cellStyle name="Normal" xfId="0" builtinId="0"/>
    <cellStyle name="Percent" xfId="1" builtinId="5"/>
  </cellStyles>
  <dxfs count="136">
    <dxf>
      <numFmt numFmtId="19" formatCode="m/d/yyyy"/>
    </dxf>
    <dxf>
      <numFmt numFmtId="30" formatCode="@"/>
    </dxf>
    <dxf>
      <numFmt numFmtId="0" formatCode="General"/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alignment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13" formatCode="0%"/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2" tint="-0.499984740745262"/>
        </top>
      </border>
    </dxf>
    <dxf>
      <border outline="0">
        <bottom style="thin">
          <color theme="2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/>
        <color theme="0"/>
      </font>
      <fill>
        <patternFill>
          <bgColor theme="1" tint="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C000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rgb="FF000000"/>
        </top>
      </border>
    </dxf>
    <dxf>
      <alignment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/>
        <color theme="0"/>
      </font>
      <fill>
        <patternFill>
          <bgColor theme="1" tint="0.24994659260841701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18</xdr:row>
          <xdr:rowOff>107950</xdr:rowOff>
        </xdr:from>
        <xdr:to>
          <xdr:col>2</xdr:col>
          <xdr:colOff>914400</xdr:colOff>
          <xdr:row>20</xdr:row>
          <xdr:rowOff>88900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18</xdr:row>
          <xdr:rowOff>107950</xdr:rowOff>
        </xdr:from>
        <xdr:to>
          <xdr:col>2</xdr:col>
          <xdr:colOff>2432050</xdr:colOff>
          <xdr:row>20</xdr:row>
          <xdr:rowOff>88900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initial tracker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2527300</xdr:colOff>
          <xdr:row>18</xdr:row>
          <xdr:rowOff>88900</xdr:rowOff>
        </xdr:from>
        <xdr:to>
          <xdr:col>4</xdr:col>
          <xdr:colOff>800100</xdr:colOff>
          <xdr:row>20</xdr:row>
          <xdr:rowOff>76200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final tracker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1</xdr:row>
          <xdr:rowOff>374650</xdr:rowOff>
        </xdr:from>
        <xdr:to>
          <xdr:col>0</xdr:col>
          <xdr:colOff>527050</xdr:colOff>
          <xdr:row>1</xdr:row>
          <xdr:rowOff>660400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69850</xdr:colOff>
          <xdr:row>5</xdr:row>
          <xdr:rowOff>107950</xdr:rowOff>
        </xdr:from>
        <xdr:to>
          <xdr:col>0</xdr:col>
          <xdr:colOff>546100</xdr:colOff>
          <xdr:row>5</xdr:row>
          <xdr:rowOff>393700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622300</xdr:colOff>
          <xdr:row>1</xdr:row>
          <xdr:rowOff>114300</xdr:rowOff>
        </xdr:from>
        <xdr:to>
          <xdr:col>1</xdr:col>
          <xdr:colOff>2146300</xdr:colOff>
          <xdr:row>1</xdr:row>
          <xdr:rowOff>571500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repo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1</xdr:row>
          <xdr:rowOff>393700</xdr:rowOff>
        </xdr:from>
        <xdr:to>
          <xdr:col>0</xdr:col>
          <xdr:colOff>565150</xdr:colOff>
          <xdr:row>1</xdr:row>
          <xdr:rowOff>685800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5</xdr:row>
          <xdr:rowOff>165100</xdr:rowOff>
        </xdr:from>
        <xdr:to>
          <xdr:col>0</xdr:col>
          <xdr:colOff>565150</xdr:colOff>
          <xdr:row>5</xdr:row>
          <xdr:rowOff>431800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6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365760</xdr:colOff>
      <xdr:row>7</xdr:row>
      <xdr:rowOff>175260</xdr:rowOff>
    </xdr:from>
    <xdr:to>
      <xdr:col>16</xdr:col>
      <xdr:colOff>264160</xdr:colOff>
      <xdr:row>26</xdr:row>
      <xdr:rowOff>119380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07480" y="1638300"/>
          <a:ext cx="6040120" cy="342646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0</xdr:col>
      <xdr:colOff>228600</xdr:colOff>
      <xdr:row>8</xdr:row>
      <xdr:rowOff>0</xdr:rowOff>
    </xdr:from>
    <xdr:to>
      <xdr:col>7</xdr:col>
      <xdr:colOff>146685</xdr:colOff>
      <xdr:row>26</xdr:row>
      <xdr:rowOff>145415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" y="1645920"/>
          <a:ext cx="6050280" cy="342773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4A78952-02E3-4EC8-B0F6-43D84F87622F}" name="initialScan" displayName="initialScan" ref="A2:AE102" totalsRowShown="0" headerRowDxfId="124" dataDxfId="122" headerRowBorderDxfId="123" tableBorderDxfId="121">
  <autoFilter ref="A2:AE102" xr:uid="{74A78952-02E3-4EC8-B0F6-43D84F87622F}"/>
  <tableColumns count="31">
    <tableColumn id="1" xr3:uid="{337770BB-F6A5-4484-9A36-C7FB8E6616DD}" name="#" dataDxfId="120"/>
    <tableColumn id="2" xr3:uid="{0A0157EC-1E8E-4D74-84A2-D9524200A823}" name="Repository Name" dataDxfId="119"/>
    <tableColumn id="3" xr3:uid="{43B30445-8412-412C-ABAD-89EFF3025EFB}" name="Technology" dataDxfId="118"/>
    <tableColumn id="30" xr3:uid="{D6625BC2-3B25-4308-95BB-752FBB4161EF}" name="Readme?" dataDxfId="117"/>
    <tableColumn id="4" xr3:uid="{B14A7DE1-8E14-457A-8CE2-96BAEEC0A249}" name="Unit tests present?" dataDxfId="116"/>
    <tableColumn id="5" xr3:uid="{3F4C609F-ACAB-4218-90EA-37A64B723003}" name="Unit test coverage" dataDxfId="115"/>
    <tableColumn id="6" xr3:uid="{B8FBF90A-3E7D-4197-B511-7931328DFE35}" name="No of lines" dataDxfId="114"/>
    <tableColumn id="7" xr3:uid="{BB616B2F-0655-413D-82F5-1D0DD21FF8BD}" name="SonarQube Project Key" dataDxfId="113"/>
    <tableColumn id="8" xr3:uid="{47D74EFC-FC69-462A-AA7F-AD019BD157EE}" name="Reliability Score" dataDxfId="112"/>
    <tableColumn id="9" xr3:uid="{8A063A53-61A9-435D-A364-85185C6A0922}" name="Maintainability rating" dataDxfId="111"/>
    <tableColumn id="10" xr3:uid="{C3C1379E-2389-4F37-ACC2-89C568BA8A7E}" name="Duplication %" dataDxfId="110"/>
    <tableColumn id="11" xr3:uid="{DA84B2FF-534B-437A-89F6-64409D7ECBC6}" name="Comments (%)" dataDxfId="109"/>
    <tableColumn id="12" xr3:uid="{05478B9B-352D-46C0-B857-71D6215FA8F9}" name="SAST (High)" dataDxfId="108"/>
    <tableColumn id="13" xr3:uid="{E2CEBAC6-6C8F-40CE-A7D8-151F4E3F3972}" name="SAST (Medium)" dataDxfId="107"/>
    <tableColumn id="14" xr3:uid="{BE9F5A00-90C5-4FB0-A0F7-B03B0702E8AB}" name="SAST (Low)" dataDxfId="106"/>
    <tableColumn id="15" xr3:uid="{02ED3970-2AD4-45E4-AB9D-D87B3C7D72AB}" name="FOSS -Security (Critical)" dataDxfId="105"/>
    <tableColumn id="31" xr3:uid="{11DC2621-5B78-4A69-AC67-EC6171D137DF}" name="FOSS -Security (High)" dataDxfId="104"/>
    <tableColumn id="16" xr3:uid="{9D3475F7-8CC7-4152-A89F-6FA1320E9192}" name="FOSS -Security (Medium)" dataDxfId="103"/>
    <tableColumn id="17" xr3:uid="{03345CE2-5446-4B51-B628-DFAB4985A873}" name="FOSS -Security (Low)" dataDxfId="102"/>
    <tableColumn id="18" xr3:uid="{748D1100-F915-4899-8AE8-484BC8BB6E89}" name="FOSS -License (High)" dataDxfId="101"/>
    <tableColumn id="19" xr3:uid="{EFC53E24-A3DE-46CD-A0F5-C12983E4DEA1}" name="FOSS -License (Medium)" dataDxfId="100"/>
    <tableColumn id="20" xr3:uid="{F39F14B3-0AAB-44AA-9BF0-AFA84393F0C4}" name="FOSS -License (Low)" dataDxfId="99"/>
    <tableColumn id="21" xr3:uid="{33E1D4DF-C319-4812-A68E-4CBD7610D4C8}" name="Reliability Bug (Blocker)" dataDxfId="98"/>
    <tableColumn id="22" xr3:uid="{B1E09F6D-7B72-42D0-AD43-41E903292AE5}" name="Reliability Bug (Critical)" dataDxfId="97"/>
    <tableColumn id="23" xr3:uid="{11DC39D1-D037-4BFE-86F3-DD88EE62595A}" name="Reliability Bug (Major)" dataDxfId="96"/>
    <tableColumn id="24" xr3:uid="{E0E42F57-410A-4B09-BEC5-883A4C9BD8A3}" name="Reliability Bug (Minor)" dataDxfId="95"/>
    <tableColumn id="25" xr3:uid="{99B6B1C6-96A9-413C-8A58-E0BDB9A4602C}" name="Comments" dataDxfId="94"/>
    <tableColumn id="28" xr3:uid="{B1323023-8BE9-4F6C-BBFF-7F6092C84A4E}" name="Complete?" dataDxfId="93">
      <calculatedColumnFormula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calculatedColumnFormula>
    </tableColumn>
    <tableColumn id="26" xr3:uid="{B5E23C2E-3259-44E1-82B6-E0F980932E39}" name="unit test - lines covered" dataDxfId="92">
      <calculatedColumnFormula>IF(COUNT(initialScan[[#This Row],[Unit test coverage]:[No of lines]])=2,initialScan[[#This Row],[Unit test coverage]]*initialScan[[#This Row],[No of lines]],"")</calculatedColumnFormula>
    </tableColumn>
    <tableColumn id="27" xr3:uid="{B4760A5A-0C8B-40F3-86CB-FC245259CA63}" name="duplicated lines" dataDxfId="91">
      <calculatedColumnFormula>IF(COUNT(initialScan[[#This Row],[Duplication %]],initialScan[[#This Row],[No of lines]])=2,initialScan[[#This Row],[No of lines]]*initialScan[[#This Row],[Duplication %]],"")</calculatedColumnFormula>
    </tableColumn>
    <tableColumn id="29" xr3:uid="{83B6AAB9-9480-4930-A218-361EF8C60D4B}" name="commented lines" dataDxfId="90">
      <calculatedColumnFormula>IF(COUNT(initialScan[[#This Row],[Comments (%)]],initialScan[[#This Row],[No of lines]])=2,initialScan[[#This Row],[No of lines]]*initialScan[[#This Row],[Comments (%)]],"")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ADD6C20-4AF1-43CD-91CF-332797209092}" name="finalScan" displayName="finalScan" ref="A7:AE107" totalsRowShown="0" headerRowDxfId="77" dataDxfId="75" headerRowBorderDxfId="76" tableBorderDxfId="74">
  <autoFilter ref="A7:AE107" xr:uid="{74A78952-02E3-4EC8-B0F6-43D84F87622F}"/>
  <tableColumns count="31">
    <tableColumn id="1" xr3:uid="{CFE69714-998F-4E05-AF84-A02EF03362E6}" name="#" dataDxfId="73"/>
    <tableColumn id="2" xr3:uid="{76EE9EBD-3C19-4253-8FC5-97681B4C7E6E}" name="Repository Name" dataDxfId="72"/>
    <tableColumn id="3" xr3:uid="{DAD87973-A5D8-4BB3-8EC1-CCB99BA455FB}" name="Technology" dataDxfId="71"/>
    <tableColumn id="30" xr3:uid="{D35AB7CF-D14F-43F3-BAC2-D5091616CB7B}" name="Readme?" dataDxfId="70"/>
    <tableColumn id="4" xr3:uid="{132E9BFA-7686-4D7B-93A6-F8F5AB832096}" name="Unit tests present?" dataDxfId="69"/>
    <tableColumn id="5" xr3:uid="{CE62A337-426A-48D3-B161-1AF67BE65FB0}" name="Unit test coverage" dataDxfId="68"/>
    <tableColumn id="6" xr3:uid="{9015EEEB-4E5C-4F6D-959E-E86465668E81}" name="No of lines" dataDxfId="67"/>
    <tableColumn id="7" xr3:uid="{9F03363D-24DD-4982-9D71-AE4587618E73}" name="SonarQube Project Key" dataDxfId="66"/>
    <tableColumn id="8" xr3:uid="{E9513F54-0E41-4440-BF26-39266B3EEBE8}" name="Reliability Score" dataDxfId="65"/>
    <tableColumn id="9" xr3:uid="{26BB8001-EDA3-4803-83B6-B7BED0C29CEA}" name="Maintainability rating" dataDxfId="64"/>
    <tableColumn id="10" xr3:uid="{4CBBB841-DB96-4624-8FEF-93BEB06B6D10}" name="Duplication %" dataDxfId="63"/>
    <tableColumn id="11" xr3:uid="{1A99A94E-930F-4790-B82F-55B2F3BAFE69}" name="Comments (%)" dataDxfId="62"/>
    <tableColumn id="12" xr3:uid="{D1280C3D-ECD2-4449-A6FE-81E236B5E6D8}" name="SAST (High)" dataDxfId="61"/>
    <tableColumn id="13" xr3:uid="{58158EFA-CBF1-4964-BAEC-E66ACC150876}" name="SAST (Medium)" dataDxfId="60"/>
    <tableColumn id="14" xr3:uid="{A3826C8E-17CD-49DD-9178-262C76E163A3}" name="SAST (Low)" dataDxfId="59"/>
    <tableColumn id="15" xr3:uid="{D9C359B9-6D3B-4D8E-9200-EEC95A0FBB74}" name="FOSS -Security (Critical)" dataDxfId="58"/>
    <tableColumn id="31" xr3:uid="{06A23AD3-DCB0-4759-BE4B-173E99F8615A}" name="FOSS -Security (High)" dataDxfId="57"/>
    <tableColumn id="16" xr3:uid="{863A77F5-40C5-45C8-BD2E-73D529C70763}" name="FOSS -Security (Medium)" dataDxfId="56"/>
    <tableColumn id="17" xr3:uid="{134FCE17-2B1C-4D1D-A5D5-581676080349}" name="FOSS -Security (Low)" dataDxfId="55"/>
    <tableColumn id="18" xr3:uid="{EF4E1C8E-0777-42CE-8082-327C1BEF94C0}" name="FOSS -License (High)" dataDxfId="54"/>
    <tableColumn id="19" xr3:uid="{EFA63EBA-0F0F-4612-AF3B-1DB7FE13BA9D}" name="FOSS -License (Medium)" dataDxfId="53"/>
    <tableColumn id="20" xr3:uid="{345B8D69-137F-40DD-8131-4726CF33B5B3}" name="FOSS -License (Low)" dataDxfId="52"/>
    <tableColumn id="21" xr3:uid="{809D2678-025E-40B6-8886-2344DA8825AD}" name="Reliability Bug (Blocker)" dataDxfId="51"/>
    <tableColumn id="22" xr3:uid="{75404DA6-243A-426B-9DD0-92DC58BF88D3}" name="Reliability Bug (Critical)" dataDxfId="50"/>
    <tableColumn id="23" xr3:uid="{B2D1EE43-9ECD-4856-91A8-769B5F8056DA}" name="Reliability Bug (Major)" dataDxfId="49"/>
    <tableColumn id="24" xr3:uid="{C6B71866-4C36-4874-AACE-CE0702AB6839}" name="Reliability Bug (Minor)" dataDxfId="48"/>
    <tableColumn id="25" xr3:uid="{48E4EF73-F5DD-4A83-B790-2F9B2E51F18F}" name="Comments" dataDxfId="47"/>
    <tableColumn id="28" xr3:uid="{4303B363-F9E4-4AAD-A4EC-3107AD54F4C4}" name="Complete?" dataDxfId="46">
      <calculatedColumnFormula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calculatedColumnFormula>
    </tableColumn>
    <tableColumn id="26" xr3:uid="{E29B05F6-1504-4D06-97A7-C23DF5DC702D}" name="unit test - lines covered" dataDxfId="45">
      <calculatedColumnFormula>IF(COUNT(finalScan[[#This Row],[Unit test coverage]:[No of lines]])=2,finalScan[[#This Row],[Unit test coverage]]*finalScan[[#This Row],[No of lines]],"")</calculatedColumnFormula>
    </tableColumn>
    <tableColumn id="27" xr3:uid="{C319C0F4-3EC5-4B34-B75D-CDF15F78245C}" name="duplicated lines" dataDxfId="44">
      <calculatedColumnFormula>IF(COUNT(finalScan[[#This Row],[Duplication %]],finalScan[[#This Row],[No of lines]])=2,finalScan[[#This Row],[No of lines]]*finalScan[[#This Row],[Duplication %]],"")</calculatedColumnFormula>
    </tableColumn>
    <tableColumn id="29" xr3:uid="{2C0A13EF-EEF8-4AE0-997C-37594FC5E04A}" name="commented lines" dataDxfId="43">
      <calculatedColumnFormula>IF(COUNT(finalScan[[#This Row],[Comments (%)]],finalScan[[#This Row],[No of lines]])=2,finalScan[[#This Row],[No of lines]]*finalScan[[#This Row],[Comments (%)]],"")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FA798E-8358-4984-BC4C-AD7C352E7CBD}" name="classification" displayName="classification" ref="A1:A6" totalsRowShown="0" headerRowDxfId="30" headerRowBorderDxfId="29" tableBorderDxfId="28">
  <autoFilter ref="A1:A6" xr:uid="{8BFA798E-8358-4984-BC4C-AD7C352E7CBD}"/>
  <tableColumns count="1">
    <tableColumn id="1" xr3:uid="{E0DC93D3-FD0D-4DA2-B974-B3D331F7CF0A}" name="Asset Classifica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09A0558-2192-403B-BDC8-CC504BA8ED40}" name="doc.score.lookUp" displayName="doc.score.lookUp" ref="D1:E8" totalsRowShown="0" dataDxfId="27">
  <autoFilter ref="D1:E8" xr:uid="{A09A0558-2192-403B-BDC8-CC504BA8ED40}"/>
  <tableColumns count="2">
    <tableColumn id="1" xr3:uid="{E75922D1-B8AE-438B-B455-37010243D7BA}" name="document count" dataDxfId="26"/>
    <tableColumn id="2" xr3:uid="{9440BAE0-3EC8-47AD-9373-EA9B28E1C62E}" name="score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F8B872A-10AF-4548-A68F-29A543FE8CCC}" name="score.lookUp" displayName="score.lookUp" ref="G1:H7" totalsRowShown="0" dataDxfId="24">
  <autoFilter ref="G1:H7" xr:uid="{BF8B872A-10AF-4548-A68F-29A543FE8CCC}"/>
  <tableColumns count="2">
    <tableColumn id="1" xr3:uid="{8B1F8507-1EA4-43C2-8546-EDFC6681626E}" name="scores" dataDxfId="23"/>
    <tableColumn id="2" xr3:uid="{FB42271B-89B3-495E-9608-69A011BD3310}" name="value" dataDxfId="2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03ABCD1-FD7A-4786-8911-D4FEEAAC73FB}" name="unitTest.score.lookUp" displayName="unitTest.score.lookUp" ref="J1:K8" totalsRowShown="0" dataDxfId="21">
  <autoFilter ref="J1:K8" xr:uid="{C03ABCD1-FD7A-4786-8911-D4FEEAAC73FB}"/>
  <tableColumns count="2">
    <tableColumn id="1" xr3:uid="{3E94F600-6352-4C1E-8098-4348914528D8}" name="Unit test coverage" dataDxfId="20"/>
    <tableColumn id="2" xr3:uid="{4B029AA1-38D4-4E1E-8DCF-1A8F18BFBD65}" name="score" dataDxfId="19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5AEEE66-2503-4AB9-B311-B16BB3CCFF94}" name="dupli.score.lookUp" displayName="dupli.score.lookUp" ref="M1:N7" totalsRowShown="0" dataDxfId="18">
  <autoFilter ref="M1:N7" xr:uid="{C5AEEE66-2503-4AB9-B311-B16BB3CCFF94}"/>
  <tableColumns count="2">
    <tableColumn id="1" xr3:uid="{3E327AE0-5F80-4108-93B0-662C1C6EA296}" name="Duplication %" dataDxfId="17"/>
    <tableColumn id="2" xr3:uid="{CF5D0928-B394-44FA-A38E-916F86A8C937}" name="score" dataDxfId="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3BD736-77CB-4470-917F-2715B7053C79}" name="comment.score.lookUp" displayName="comment.score.lookUp" ref="P1:Q7" totalsRowShown="0" dataDxfId="15" tableBorderDxfId="14">
  <autoFilter ref="P1:Q7" xr:uid="{3B3BD736-77CB-4470-917F-2715B7053C79}"/>
  <tableColumns count="2">
    <tableColumn id="1" xr3:uid="{4A1C613A-4F3C-43F2-9E2B-7453CD5FF9D7}" name="Comment %" dataDxfId="13"/>
    <tableColumn id="2" xr3:uid="{2B1A3857-323C-4D9D-95A4-E6277B874BA8}" name="Score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6D15468-0761-4A5F-9851-CDF0746D2800}" name="Table3" displayName="Table3" ref="A1:H8" totalsRowShown="0" headerRowDxfId="10">
  <autoFilter ref="A1:H8" xr:uid="{B6E79109-E12C-410E-83EC-C9484B22D112}"/>
  <tableColumns count="8">
    <tableColumn id="1" xr3:uid="{8A217878-2262-4A52-B9C7-442543622D5E}" name="Document"/>
    <tableColumn id="2" xr3:uid="{2A876C8C-0944-4D04-A483-8FD3A4986221}" name="Class A" dataDxfId="9"/>
    <tableColumn id="3" xr3:uid="{104CE62C-08B6-4D97-B5C8-697658358F45}" name="Class B" dataDxfId="8"/>
    <tableColumn id="4" xr3:uid="{D4379B35-7CC4-48C6-B701-7C2339B3D1BC}" name="Class C" dataDxfId="7"/>
    <tableColumn id="5" xr3:uid="{85DE2B18-3C14-4AF9-B69F-341A510B9E8C}" name="Class D" dataDxfId="6"/>
    <tableColumn id="6" xr3:uid="{23EEB540-A4E3-4678-B453-1C12107A6415}" name="Class E" dataDxfId="5"/>
    <tableColumn id="8" xr3:uid="{933A5ADA-2316-4874-A260-4816F1E12340}" name="Exception cases / Scripts" dataDxfId="4"/>
    <tableColumn id="7" xr3:uid="{13E8E528-A3D0-4C03-AF66-E10EB7ABBA07}" name="Comments" dataDxfId="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7C47A27-7E78-4E82-B48C-0043D2565CF7}" name="Table6" displayName="Table6" ref="A1:D14" totalsRowShown="0">
  <autoFilter ref="A1:D14" xr:uid="{87C47A27-7E78-4E82-B48C-0043D2565CF7}"/>
  <tableColumns count="4">
    <tableColumn id="4" xr3:uid="{12055BBF-6984-40B0-A472-D352D347B191}" name="#" dataDxfId="2">
      <calculatedColumnFormula>ROW()-1</calculatedColumnFormula>
    </tableColumn>
    <tableColumn id="1" xr3:uid="{A4F52391-2C4D-4D64-8B72-487AD5695692}" name="version" dataDxfId="1"/>
    <tableColumn id="2" xr3:uid="{A1524486-8843-47B0-8D32-83DE08EC719D}" name="date" dataDxfId="0"/>
    <tableColumn id="3" xr3:uid="{340D6F77-1B6F-4472-BEB5-F94372F7C64C}" name="Change lo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cognizant.app.blackduck.com/api/projects/2cb4bfef-075c-4f35-8047-90276a9a7d85/versions/de56802d-b5dc-4a81-bd34-4180856dbfff/components" TargetMode="External"/><Relationship Id="rId13" Type="http://schemas.openxmlformats.org/officeDocument/2006/relationships/hyperlink" Target="https://codeinspect.codehub.cognizantproducts.com/project/issues?resolved=false&amp;types=BUG&amp;inNewCodePeriod=false&amp;id=ciqdashboard-collector-jira" TargetMode="External"/><Relationship Id="rId18" Type="http://schemas.openxmlformats.org/officeDocument/2006/relationships/hyperlink" Target="https://cognizant.app.blackduck.com/api/projects/1890399d-80d6-4b3c-b53a-360b8d5a3fe9/versions/686851a2-4811-4972-9ad4-2568fdb6b272/components" TargetMode="External"/><Relationship Id="rId26" Type="http://schemas.openxmlformats.org/officeDocument/2006/relationships/hyperlink" Target="https://cognizant.app.blackduck.com/api/projects/cf5e8d84-806e-48ae-9d9d-5f7c5a7b38e8/versions/2b1b1be5-2dd3-477e-a0d2-bcb6687c05ce/components" TargetMode="External"/><Relationship Id="rId39" Type="http://schemas.openxmlformats.org/officeDocument/2006/relationships/hyperlink" Target="https://cognizant.app.blackduck.com/api/projects/1b06aacb-4afd-477a-b9e0-d03829dca934/versions/62bc33a8-43fd-449c-b8c7-b3c97ffa8732/components" TargetMode="External"/><Relationship Id="rId3" Type="http://schemas.openxmlformats.org/officeDocument/2006/relationships/hyperlink" Target="https://codeinspect.codehub.cognizantproducts.com/project/issues?resolved=false&amp;types=BUG&amp;inNewCodePeriod=false&amp;id=ciqdashboard-ui" TargetMode="External"/><Relationship Id="rId21" Type="http://schemas.openxmlformats.org/officeDocument/2006/relationships/hyperlink" Target="https://cognizanttechnology.checkmarx.net/CxWebClient/ViewerMain.aspx?scanid=1082726&amp;projectid=6270" TargetMode="External"/><Relationship Id="rId34" Type="http://schemas.openxmlformats.org/officeDocument/2006/relationships/hyperlink" Target="https://cognizant.app.blackduck.com/api/projects/c45501ca-8f5b-42a7-a86c-d17bacc70c8c/versions/e11b755b-0ee7-42ed-b2f8-51654380e8d7/components" TargetMode="External"/><Relationship Id="rId7" Type="http://schemas.openxmlformats.org/officeDocument/2006/relationships/hyperlink" Target="https://cognizanttechnology.checkmarx.net/CxWebClient/ViewerMain.aspx?scanid=1082718&amp;projectid=6423" TargetMode="External"/><Relationship Id="rId12" Type="http://schemas.openxmlformats.org/officeDocument/2006/relationships/hyperlink" Target="https://codeinspect.codehub.cognizantproducts.com/project/issues?resolved=false&amp;types=BUG&amp;inNewCodePeriod=false&amp;id=ciqdashboard-metric-services" TargetMode="External"/><Relationship Id="rId17" Type="http://schemas.openxmlformats.org/officeDocument/2006/relationships/hyperlink" Target="https://cognizanttechnology.checkmarx.net/CxWebClient/ViewerMain.aspx?scanid=1082729&amp;projectid=6427" TargetMode="External"/><Relationship Id="rId25" Type="http://schemas.openxmlformats.org/officeDocument/2006/relationships/hyperlink" Target="https://codeinspect.codehub.cognizantproducts.com/project/issues?resolved=false&amp;types=BUG&amp;inNewCodePeriod=false&amp;id=IPR000670_ciqdashboard-collector-jira-zephyr-xray-cloud" TargetMode="External"/><Relationship Id="rId33" Type="http://schemas.openxmlformats.org/officeDocument/2006/relationships/hyperlink" Target="https://codeinspect.codehub.cognizantproducts.com/project/issues?resolved=false&amp;types=BUG&amp;inNewCodePeriod=false&amp;id=IPR000670_ciqdashboard-collector-jira-xray-cloud" TargetMode="External"/><Relationship Id="rId38" Type="http://schemas.openxmlformats.org/officeDocument/2006/relationships/hyperlink" Target="https://cognizanttechnology.checkmarx.net/CxWebClient/ViewerMain.aspx?scanid=1083296&amp;projectid=6429" TargetMode="External"/><Relationship Id="rId2" Type="http://schemas.openxmlformats.org/officeDocument/2006/relationships/hyperlink" Target="https://cognizant.app.blackduck.com/api/projects/cf68dc05-53eb-49fe-a83a-d71788ee01b1/versions/8ec91eba-29b6-42cc-bf38-07aeaebacfc4/components" TargetMode="External"/><Relationship Id="rId16" Type="http://schemas.openxmlformats.org/officeDocument/2006/relationships/hyperlink" Target="https://codeinspect.codehub.cognizantproducts.com/project/issues?resolved=false&amp;types=BUG&amp;inNewCodePeriod=false&amp;id=ciqdashboard-collector-github" TargetMode="External"/><Relationship Id="rId20" Type="http://schemas.openxmlformats.org/officeDocument/2006/relationships/hyperlink" Target="https://cognizant.app.blackduck.com/api/projects/f6064d0e-2167-422e-a385-e1189bf01b6f/versions/a818d8b3-e856-4ea1-9ebc-8f27b0e55e70/components" TargetMode="External"/><Relationship Id="rId29" Type="http://schemas.openxmlformats.org/officeDocument/2006/relationships/hyperlink" Target="https://cognizanttechnology.checkmarx.net/CxWebClient/ViewerMain.aspx?scanid=1083292&amp;projectid=6248" TargetMode="External"/><Relationship Id="rId41" Type="http://schemas.openxmlformats.org/officeDocument/2006/relationships/printerSettings" Target="../printerSettings/printerSettings3.bin"/><Relationship Id="rId1" Type="http://schemas.openxmlformats.org/officeDocument/2006/relationships/hyperlink" Target="https://cognizanttechnology.checkmarx.net/CxWebClient/ViewerMain.aspx?scanid=1082954&amp;projectid=5908" TargetMode="External"/><Relationship Id="rId6" Type="http://schemas.openxmlformats.org/officeDocument/2006/relationships/hyperlink" Target="https://codeinspect.codehub.cognizantproducts.com/project/issues?resolved=false&amp;types=BUG&amp;inNewCodePeriod=false&amp;id=ciqdashboard-api" TargetMode="External"/><Relationship Id="rId11" Type="http://schemas.openxmlformats.org/officeDocument/2006/relationships/hyperlink" Target="https://cognizant.app.blackduck.com/api/projects/724a460b-baac-4341-9f02-38d227a5e726/versions/1e36cf85-3f8c-4b94-929a-e70645c98762/components" TargetMode="External"/><Relationship Id="rId24" Type="http://schemas.openxmlformats.org/officeDocument/2006/relationships/hyperlink" Target="https://cognizanttechnology.checkmarx.net/CxWebClient/ViewerMain.aspx?scanid=1083293&amp;projectid=6430" TargetMode="External"/><Relationship Id="rId32" Type="http://schemas.openxmlformats.org/officeDocument/2006/relationships/hyperlink" Target="https://cognizant.app.blackduck.com/api/projects/e8ff5e64-aa56-4784-b9d9-41c7978e1856/versions/fd12c74b-fdbe-44d6-aea2-c803f0dda819/components" TargetMode="External"/><Relationship Id="rId37" Type="http://schemas.openxmlformats.org/officeDocument/2006/relationships/hyperlink" Target="https://codeinspect.codehub.cognizantproducts.com/project/issues?resolved=false&amp;types=BUG&amp;inNewCodePeriod=false&amp;id=ciqdashboard-collector-alm" TargetMode="External"/><Relationship Id="rId40" Type="http://schemas.openxmlformats.org/officeDocument/2006/relationships/hyperlink" Target="https://codehub.cognizantproducts.com/project/63070f57f3b4bc0031b6514b/details/documentation" TargetMode="External"/><Relationship Id="rId5" Type="http://schemas.openxmlformats.org/officeDocument/2006/relationships/hyperlink" Target="https://cognizant.app.blackduck.com/api/projects/c569e980-4f21-45be-a6c7-fb9695692be9/versions/8f5e5684-9541-4931-aaac-8b27ed19645d/components" TargetMode="External"/><Relationship Id="rId15" Type="http://schemas.openxmlformats.org/officeDocument/2006/relationships/hyperlink" Target="https://cognizant.app.blackduck.com/api/projects/e0e831a3-78f6-4378-96cd-28ce079aeb16/versions/cd7d4ccf-30d2-49de-9698-c7f4ce424753/components" TargetMode="External"/><Relationship Id="rId23" Type="http://schemas.openxmlformats.org/officeDocument/2006/relationships/hyperlink" Target="https://cognizant.app.blackduck.com/api/projects/d56cce87-ce4d-45eb-b084-db0bfd7285a8/versions/55e5f5fc-a139-43e0-a323-7ea44b455222/components" TargetMode="External"/><Relationship Id="rId28" Type="http://schemas.openxmlformats.org/officeDocument/2006/relationships/hyperlink" Target="https://cognizant.app.blackduck.com/api/projects/e0e831a3-78f6-4378-96cd-28ce079aeb16/versions/cd7d4ccf-30d2-49de-9698-c7f4ce424753/components" TargetMode="External"/><Relationship Id="rId36" Type="http://schemas.openxmlformats.org/officeDocument/2006/relationships/hyperlink" Target="https://codeinspect.codehub.cognizantproducts.com/project/issues?resolved=false&amp;types=BUG&amp;inNewCodePeriod=false&amp;id=ciqdashboard-collector-rally" TargetMode="External"/><Relationship Id="rId10" Type="http://schemas.openxmlformats.org/officeDocument/2006/relationships/hyperlink" Target="https://cognizanttechnology.checkmarx.net/CxWebClient/ViewerMain.aspx?scanid=1082724&amp;projectid=6425" TargetMode="External"/><Relationship Id="rId19" Type="http://schemas.openxmlformats.org/officeDocument/2006/relationships/hyperlink" Target="https://codeinspect.codehub.cognizantproducts.com/project/issues?resolved=false&amp;types=BUG&amp;inNewCodePeriod=false&amp;id=ciqdashboard-collector-jenkins" TargetMode="External"/><Relationship Id="rId31" Type="http://schemas.openxmlformats.org/officeDocument/2006/relationships/hyperlink" Target="https://cognizanttechnology.checkmarx.net/CxWebClient/ViewerMain.aspx?scanid=1083292&amp;projectid=6248" TargetMode="External"/><Relationship Id="rId4" Type="http://schemas.openxmlformats.org/officeDocument/2006/relationships/hyperlink" Target="https://cognizanttechnology.checkmarx.net/CxWebClient/ViewerMain.aspx?scanid=1082719&amp;projectid=6424" TargetMode="External"/><Relationship Id="rId9" Type="http://schemas.openxmlformats.org/officeDocument/2006/relationships/hyperlink" Target="https://codeinspect.codehub.cognizantproducts.com/project/issues?resolved=false&amp;types=BUG&amp;inNewCodePeriod=false&amp;id=ciqdashboard-auth" TargetMode="External"/><Relationship Id="rId14" Type="http://schemas.openxmlformats.org/officeDocument/2006/relationships/hyperlink" Target="https://cognizanttechnology.checkmarx.net/CxWebClient/ViewerMain.aspx?scanid=1082725&amp;projectid=6248" TargetMode="External"/><Relationship Id="rId22" Type="http://schemas.openxmlformats.org/officeDocument/2006/relationships/hyperlink" Target="https://codeinspect.codehub.cognizantproducts.com/project/issues?resolved=false&amp;types=BUG&amp;inNewCodePeriod=false&amp;id=ciqdashboard-collector-jira-zephyr-cloud" TargetMode="External"/><Relationship Id="rId27" Type="http://schemas.openxmlformats.org/officeDocument/2006/relationships/hyperlink" Target="https://cognizanttechnology.checkmarx.net/CxWebClient/ViewerMain.aspx?scanid=1083290&amp;projectid=6433" TargetMode="External"/><Relationship Id="rId30" Type="http://schemas.openxmlformats.org/officeDocument/2006/relationships/hyperlink" Target="https://codeinspect.codehub.cognizantproducts.com/project/issues?resolved=false&amp;types=BUG&amp;inNewCodePeriod=false&amp;id=ciqdashboard-collector-jira-Zephyrscale" TargetMode="External"/><Relationship Id="rId35" Type="http://schemas.openxmlformats.org/officeDocument/2006/relationships/hyperlink" Target="https://cognizanttechnology.checkmarx.net/CxWebClient/ViewerMain.aspx?scanid=1083295&amp;projectid=6428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codeinspect.codehub.cognizantproducts.com/project/issues?resolved=false&amp;types=BUG&amp;inNewCodePeriod=false&amp;id=ciqdashboard-collector-github" TargetMode="External"/><Relationship Id="rId13" Type="http://schemas.openxmlformats.org/officeDocument/2006/relationships/hyperlink" Target="https://codeinspect.codehub.cognizantproducts.com/project/issues?resolved=false&amp;types=BUG&amp;inNewCodePeriod=false&amp;id=IPR000670_ciqdashboard-collector-jira-xray-cloud" TargetMode="External"/><Relationship Id="rId18" Type="http://schemas.openxmlformats.org/officeDocument/2006/relationships/hyperlink" Target="https://cognizanttechnology.checkmarx.net/CxWebClient/ViewerMain.aspx?scanid=1084376&amp;projectid=6423" TargetMode="External"/><Relationship Id="rId26" Type="http://schemas.openxmlformats.org/officeDocument/2006/relationships/hyperlink" Target="https://cognizanttechnology.checkmarx.net/CxWebClient/ViewerMain.aspx?scanid=1084379&amp;projectid=6425" TargetMode="External"/><Relationship Id="rId39" Type="http://schemas.openxmlformats.org/officeDocument/2006/relationships/hyperlink" Target="https://cognizant.app.blackduck.com/api/projects/d56cce87-ce4d-45eb-b084-db0bfd7285a8/versions/06441843-6224-4834-8749-01451b87687a/components" TargetMode="External"/><Relationship Id="rId3" Type="http://schemas.openxmlformats.org/officeDocument/2006/relationships/hyperlink" Target="https://codeinspect.codehub.cognizantproducts.com/project/issues?resolved=false&amp;types=BUG&amp;inNewCodePeriod=false&amp;id=ciqdashboard-ui" TargetMode="External"/><Relationship Id="rId21" Type="http://schemas.openxmlformats.org/officeDocument/2006/relationships/hyperlink" Target="https://cognizanttechnology.checkmarx.net/CxWebClient/ViewerMain.aspx?scanid=1084379&amp;projectid=6425" TargetMode="External"/><Relationship Id="rId34" Type="http://schemas.openxmlformats.org/officeDocument/2006/relationships/hyperlink" Target="https://cognizanttechnology.checkmarx.net/CxWebClient/ViewerMain.aspx?scanid=1084511&amp;projectid=6440" TargetMode="External"/><Relationship Id="rId7" Type="http://schemas.openxmlformats.org/officeDocument/2006/relationships/hyperlink" Target="https://codeinspect.codehub.cognizantproducts.com/project/issues?resolved=false&amp;types=BUG&amp;inNewCodePeriod=false&amp;id=ciqdashboard-collector-jira" TargetMode="External"/><Relationship Id="rId12" Type="http://schemas.openxmlformats.org/officeDocument/2006/relationships/hyperlink" Target="https://codeinspect.codehub.cognizantproducts.com/project/issues?resolved=false&amp;types=BUG&amp;inNewCodePeriod=false&amp;id=ciqdashboard-collector-jira-Zephyrscale" TargetMode="External"/><Relationship Id="rId17" Type="http://schemas.openxmlformats.org/officeDocument/2006/relationships/hyperlink" Target="https://cognizant.app.blackduck.com/api/projects/cf68dc05-53eb-49fe-a83a-d71788ee01b1/versions/7767434b-639b-4386-accc-3ed998ceec3b/components" TargetMode="External"/><Relationship Id="rId25" Type="http://schemas.openxmlformats.org/officeDocument/2006/relationships/hyperlink" Target="https://cognizant.app.blackduck.com/api/projects/1890399d-80d6-4b3c-b53a-360b8d5a3fe9/versions/db6cd760-75d5-4c62-88b8-35d3bcdc2cb3/components" TargetMode="External"/><Relationship Id="rId33" Type="http://schemas.openxmlformats.org/officeDocument/2006/relationships/hyperlink" Target="https://cognizanttechnology.checkmarx.net/CxWebClient/ViewerMain.aspx?scanid=1084512&amp;projectid=6474" TargetMode="External"/><Relationship Id="rId38" Type="http://schemas.openxmlformats.org/officeDocument/2006/relationships/hyperlink" Target="https://cognizant.app.blackduck.com/api/projects/cf5e8d84-806e-48ae-9d9d-5f7c5a7b38e8/versions/98c86e30-1a38-4443-b119-f3f378ac2689/components" TargetMode="External"/><Relationship Id="rId2" Type="http://schemas.openxmlformats.org/officeDocument/2006/relationships/hyperlink" Target="https://cognizant.app.blackduck.com/api/projects/c569e980-4f21-45be-a6c7-fb9695692be9/versions/f518eddd-f0fe-4992-abe9-60e8a7267966/components" TargetMode="External"/><Relationship Id="rId16" Type="http://schemas.openxmlformats.org/officeDocument/2006/relationships/hyperlink" Target="https://cognizanttechnology.checkmarx.net/CxWebClient/ViewerMain.aspx?scanid=1084506&amp;projectid=6422" TargetMode="External"/><Relationship Id="rId20" Type="http://schemas.openxmlformats.org/officeDocument/2006/relationships/hyperlink" Target="https://cognizant.app.blackduck.com/api/projects/724a460b-baac-4341-9f02-38d227a5e726/versions/898dfe58-14e3-4056-b531-c409797f4dd4/components" TargetMode="External"/><Relationship Id="rId29" Type="http://schemas.openxmlformats.org/officeDocument/2006/relationships/hyperlink" Target="https://cognizant.app.blackduck.com/api/projects/f6064d0e-2167-422e-a385-e1189bf01b6f/versions/665cf83e-8da6-4df6-b9b7-9c59b1c02ac2/components" TargetMode="External"/><Relationship Id="rId1" Type="http://schemas.openxmlformats.org/officeDocument/2006/relationships/hyperlink" Target="https://cognizanttechnology.checkmarx.net/CxWebClient/ViewerMain.aspx?scanid=1084373&amp;projectid=6424" TargetMode="External"/><Relationship Id="rId6" Type="http://schemas.openxmlformats.org/officeDocument/2006/relationships/hyperlink" Target="https://codeinspect.codehub.cognizantproducts.com/project/issues?resolved=false&amp;types=BUG&amp;inNewCodePeriod=false&amp;id=ciqdashboard-metric-services" TargetMode="External"/><Relationship Id="rId11" Type="http://schemas.openxmlformats.org/officeDocument/2006/relationships/hyperlink" Target="https://codeinspect.codehub.cognizantproducts.com/project/issues?resolved=false&amp;types=BUG&amp;inNewCodePeriod=false&amp;id=IPR000670_ciqdashboard-collector-jira-zephyr-xray-cloud" TargetMode="External"/><Relationship Id="rId24" Type="http://schemas.openxmlformats.org/officeDocument/2006/relationships/hyperlink" Target="https://cognizanttechnology.checkmarx.net/CxWebClient/ViewerMain.aspx?scanid=1083815&amp;projectid=6499" TargetMode="External"/><Relationship Id="rId32" Type="http://schemas.openxmlformats.org/officeDocument/2006/relationships/hyperlink" Target="https://cognizant.app.blackduck.com/api/projects/e8ff5e64-aa56-4784-b9d9-41c7978e1856/versions/7eac31a0-9588-4455-bcc3-e86ef965699d/components" TargetMode="External"/><Relationship Id="rId37" Type="http://schemas.openxmlformats.org/officeDocument/2006/relationships/hyperlink" Target="https://cognizant.app.blackduck.com/api/projects/39b52890-1da8-4df1-9e8e-3b83eb3c3de8/versions/999f835c-7853-43e8-91b1-a3685d1bab97/components" TargetMode="External"/><Relationship Id="rId40" Type="http://schemas.openxmlformats.org/officeDocument/2006/relationships/printerSettings" Target="../printerSettings/printerSettings6.bin"/><Relationship Id="rId5" Type="http://schemas.openxmlformats.org/officeDocument/2006/relationships/hyperlink" Target="https://codeinspect.codehub.cognizantproducts.com/project/issues?resolved=false&amp;types=BUG&amp;inNewCodePeriod=false&amp;id=ciqdashboard-auth" TargetMode="External"/><Relationship Id="rId15" Type="http://schemas.openxmlformats.org/officeDocument/2006/relationships/hyperlink" Target="https://codeinspect.codehub.cognizantproducts.com/project/issues?resolved=false&amp;types=BUG&amp;inNewCodePeriod=false&amp;id=ciqdashboard-collector-alm" TargetMode="External"/><Relationship Id="rId23" Type="http://schemas.openxmlformats.org/officeDocument/2006/relationships/hyperlink" Target="https://cognizant.app.blackduck.com/api/projects/e0e831a3-78f6-4378-96cd-28ce079aeb16/versions/c7a0f3cd-1988-4e46-91cf-8f9fe73adc96/components" TargetMode="External"/><Relationship Id="rId28" Type="http://schemas.openxmlformats.org/officeDocument/2006/relationships/hyperlink" Target="https://cognizanttechnology.checkmarx.net/CxWebClient/ViewerMain.aspx?scanid=1084510&amp;projectid=6428" TargetMode="External"/><Relationship Id="rId36" Type="http://schemas.openxmlformats.org/officeDocument/2006/relationships/hyperlink" Target="https://cognizanttechnology.checkmarx.net/CxWebClient/ViewerMain.aspx?scanid=1084513&amp;projectid=6433" TargetMode="External"/><Relationship Id="rId10" Type="http://schemas.openxmlformats.org/officeDocument/2006/relationships/hyperlink" Target="https://codeinspect.codehub.cognizantproducts.com/project/issues?resolved=false&amp;types=BUG&amp;inNewCodePeriod=false&amp;id=ciqdashboard-collector-jira-zephyr-cloud" TargetMode="External"/><Relationship Id="rId19" Type="http://schemas.openxmlformats.org/officeDocument/2006/relationships/hyperlink" Target="https://cognizant.app.blackduck.com/api/projects/2cb4bfef-075c-4f35-8047-90276a9a7d85/versions/5f974419-de0d-4ec0-a755-1b0219f5417a/components" TargetMode="External"/><Relationship Id="rId31" Type="http://schemas.openxmlformats.org/officeDocument/2006/relationships/hyperlink" Target="https://cognizant.app.blackduck.com/api/projects/c45501ca-8f5b-42a7-a86c-d17bacc70c8c/versions/09c413f3-c75b-495f-912c-8bde6a66525b/components" TargetMode="External"/><Relationship Id="rId4" Type="http://schemas.openxmlformats.org/officeDocument/2006/relationships/hyperlink" Target="https://codeinspect.codehub.cognizantproducts.com/project/issues?resolved=false&amp;types=BUG&amp;inNewCodePeriod=false&amp;id=ciqdashboard-api" TargetMode="External"/><Relationship Id="rId9" Type="http://schemas.openxmlformats.org/officeDocument/2006/relationships/hyperlink" Target="https://codeinspect.codehub.cognizantproducts.com/project/issues?resolved=false&amp;types=BUG&amp;inNewCodePeriod=false&amp;id=ciqdashboard-collector-jenkins" TargetMode="External"/><Relationship Id="rId14" Type="http://schemas.openxmlformats.org/officeDocument/2006/relationships/hyperlink" Target="https://codeinspect.codehub.cognizantproducts.com/project/issues?resolved=false&amp;types=BUG&amp;inNewCodePeriod=false&amp;id=ciqdashboard-collector-rally" TargetMode="External"/><Relationship Id="rId22" Type="http://schemas.openxmlformats.org/officeDocument/2006/relationships/hyperlink" Target="https://cognizanttechnology.checkmarx.net/CxWebClient/ViewerMain.aspx?scanid=1083815&amp;projectid=6499" TargetMode="External"/><Relationship Id="rId27" Type="http://schemas.openxmlformats.org/officeDocument/2006/relationships/hyperlink" Target="https://cognizanttechnology.checkmarx.net/CxWebClient/ViewerMain.aspx?scanid=1084509&amp;projectid=6429" TargetMode="External"/><Relationship Id="rId30" Type="http://schemas.openxmlformats.org/officeDocument/2006/relationships/hyperlink" Target="https://cognizant.app.blackduck.com/api/projects/1b06aacb-4afd-477a-b9e0-d03829dca934/versions/1c9f4f91-d08f-4bb0-a9eb-4c8b47ba1c69/components" TargetMode="External"/><Relationship Id="rId35" Type="http://schemas.openxmlformats.org/officeDocument/2006/relationships/hyperlink" Target="https://cognizanttechnology.checkmarx.net/CxWebClient/ViewerMain.aspx?scanid=1084513&amp;projectid=6433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E181E-790E-4A1E-9CEA-B2C0BE6D9145}">
  <sheetPr codeName="Sheet1">
    <tabColor rgb="FF0070C0"/>
  </sheetPr>
  <dimension ref="A1:L28"/>
  <sheetViews>
    <sheetView topLeftCell="A4" zoomScale="90" zoomScaleNormal="90" workbookViewId="0">
      <selection activeCell="C14" sqref="C14"/>
    </sheetView>
  </sheetViews>
  <sheetFormatPr defaultColWidth="0" defaultRowHeight="12.5" zeroHeight="1" x14ac:dyDescent="0.25"/>
  <cols>
    <col min="1" max="1" width="2.54296875" style="1" customWidth="1"/>
    <col min="2" max="2" width="20.54296875" style="1" bestFit="1" customWidth="1"/>
    <col min="3" max="3" width="42.54296875" style="1" customWidth="1"/>
    <col min="4" max="4" width="8.453125" style="1" bestFit="1" customWidth="1"/>
    <col min="5" max="5" width="43.54296875" style="1" bestFit="1" customWidth="1"/>
    <col min="6" max="7" width="8.54296875" style="1" customWidth="1"/>
    <col min="8" max="8" width="7.54296875" style="1" customWidth="1"/>
    <col min="9" max="9" width="30.1796875" style="1" bestFit="1" customWidth="1"/>
    <col min="10" max="11" width="8.54296875" style="1" customWidth="1"/>
    <col min="12" max="12" width="3.453125" style="1" customWidth="1"/>
    <col min="13" max="16384" width="8.54296875" style="1" hidden="1"/>
  </cols>
  <sheetData>
    <row r="1" spans="1:12" s="2" customFormat="1" x14ac:dyDescent="0.25">
      <c r="I1" s="96" t="s">
        <v>0</v>
      </c>
      <c r="J1" s="64" t="str" cm="1">
        <f t="array" ref="J1:K1">_xlfn._xlws.FILTER(Table6[[version]:[date]],Table6['#]=MAX(Table6['#]))</f>
        <v>3.2.7</v>
      </c>
      <c r="K1" s="65">
        <v>45225</v>
      </c>
    </row>
    <row r="2" spans="1:12" s="2" customFormat="1" ht="25" x14ac:dyDescent="0.25">
      <c r="B2" s="124" t="s">
        <v>1</v>
      </c>
      <c r="C2" s="124"/>
      <c r="D2" s="124"/>
      <c r="E2" s="124"/>
      <c r="F2" s="124"/>
      <c r="G2" s="124"/>
      <c r="H2" s="124"/>
      <c r="I2" s="124"/>
      <c r="J2" s="124"/>
      <c r="K2" s="124"/>
    </row>
    <row r="3" spans="1:12" s="2" customFormat="1" ht="12.65" customHeight="1" x14ac:dyDescent="0.25">
      <c r="B3" s="93"/>
      <c r="C3" s="93"/>
      <c r="D3" s="93"/>
      <c r="E3" s="93"/>
      <c r="F3" s="93"/>
      <c r="G3" s="93"/>
      <c r="H3" s="93"/>
      <c r="I3" s="93"/>
      <c r="J3" s="93"/>
      <c r="K3" s="93"/>
    </row>
    <row r="4" spans="1:12" s="2" customFormat="1" ht="12.65" customHeight="1" x14ac:dyDescent="0.25"/>
    <row r="5" spans="1:12" ht="35" x14ac:dyDescent="0.35">
      <c r="A5" s="2"/>
      <c r="B5" s="33" t="s">
        <v>2</v>
      </c>
      <c r="C5" s="113" t="s">
        <v>202</v>
      </c>
      <c r="D5" s="2"/>
      <c r="E5" s="32" t="s">
        <v>3</v>
      </c>
      <c r="F5" s="12" t="s">
        <v>4</v>
      </c>
      <c r="G5" s="13" t="s">
        <v>5</v>
      </c>
      <c r="H5" s="2"/>
      <c r="I5" s="61" t="s">
        <v>6</v>
      </c>
      <c r="J5" s="12" t="s">
        <v>4</v>
      </c>
      <c r="K5" s="13" t="s">
        <v>5</v>
      </c>
      <c r="L5" s="2"/>
    </row>
    <row r="6" spans="1:12" ht="13" x14ac:dyDescent="0.3">
      <c r="A6" s="2"/>
      <c r="B6" s="108" t="s">
        <v>7</v>
      </c>
      <c r="C6" s="109" t="s">
        <v>203</v>
      </c>
      <c r="D6" s="69" t="b">
        <f>AND(LEN(asset.id)=9,LEFT(asset.id,3)="IPR",TRUE)</f>
        <v>1</v>
      </c>
      <c r="E6" s="88" t="s">
        <v>8</v>
      </c>
      <c r="F6" s="22" t="s">
        <v>196</v>
      </c>
      <c r="G6" s="22" t="s">
        <v>196</v>
      </c>
      <c r="H6" s="2"/>
      <c r="I6" s="62" t="s">
        <v>9</v>
      </c>
      <c r="J6" s="63" t="str">
        <f>IF(COUNT('Initial scan'!$M$1:$O$1)=3,IF('Initial scan'!$M$1&gt;0,"E",IF('Initial scan'!$N$1&gt;0,"D",IF('Initial scan'!$O$1&gt;0,"C","A"))),"NA")</f>
        <v>E</v>
      </c>
      <c r="K6" s="63" t="str">
        <f>IF(COUNT('Final scan'!$M$6:$O$6)=3,IF('Final scan'!$M$6&gt;0,"E",IF('Final scan'!$N$6&gt;0,"D",IF(OR('Final scan'!$O$6&gt;0,SUM('Final scan'!$M$3:$N$3)&gt;0),"C",IF(SUM('Final scan'!$M$4:$N$4)&gt;0,"B","A")))),"NA")</f>
        <v>C</v>
      </c>
      <c r="L6" s="2"/>
    </row>
    <row r="7" spans="1:12" ht="13" x14ac:dyDescent="0.3">
      <c r="A7" s="2"/>
      <c r="B7" s="108" t="s">
        <v>10</v>
      </c>
      <c r="C7" s="110" t="s">
        <v>136</v>
      </c>
      <c r="D7" s="69" t="str">
        <f>LEFT($C$7,7)</f>
        <v>Class E</v>
      </c>
      <c r="E7" s="31" t="s">
        <v>11</v>
      </c>
      <c r="F7" s="90" t="str">
        <f>IF('Initial scan'!$D$1="Yes","Yes",IF('Initial scan'!$D$1="No","No",""))</f>
        <v>Yes</v>
      </c>
      <c r="G7" s="90" t="str">
        <f>IF('Final scan'!$D$6="Yes","Yes",IF('Final scan'!$D$6="No","No",""))</f>
        <v>Yes</v>
      </c>
      <c r="H7" s="2"/>
      <c r="I7" s="62" t="s">
        <v>12</v>
      </c>
      <c r="J7" s="63" t="str">
        <f>IF(COUNT('Initial scan'!$P$1:$S$1)=4,IF(('Initial scan'!$P$1+'Initial scan'!$Q$1)&gt;0,"E",IF('Initial scan'!$R$1&gt;0,"D",IF('Initial scan'!$S$1&gt;0,"B","A"))),"NA")</f>
        <v>E</v>
      </c>
      <c r="K7" s="63" t="str">
        <f>IF(COUNT('Final scan'!$P$6:$S$6)=4,IF(('Final scan'!$P$6+'Final scan'!$Q$6)&gt;0,"E",IF('Final scan'!$R$6&gt;0,"D",IF(SUM('Final scan'!$P$3:$Q$3)&gt;0,"C",IF('Final scan'!$S$6&gt;0,"B","A")))),"NA")</f>
        <v>C</v>
      </c>
      <c r="L7" s="2"/>
    </row>
    <row r="8" spans="1:12" ht="13" x14ac:dyDescent="0.3">
      <c r="A8" s="2"/>
      <c r="B8" s="108" t="s">
        <v>13</v>
      </c>
      <c r="C8" s="110" t="s">
        <v>204</v>
      </c>
      <c r="D8" s="2"/>
      <c r="E8" s="31" t="s">
        <v>14</v>
      </c>
      <c r="F8" s="22" t="s">
        <v>206</v>
      </c>
      <c r="G8" s="22" t="s">
        <v>206</v>
      </c>
      <c r="H8" s="2"/>
      <c r="I8" s="62" t="s">
        <v>15</v>
      </c>
      <c r="J8" s="63" t="str">
        <f>'Initial scan'!$I$1</f>
        <v>E</v>
      </c>
      <c r="K8" s="63" t="str">
        <f>IF(COUNT('Final scan'!$W$6:$Z$6)=4,IF('Final scan'!$W$6&gt;0,"E",IF('Final scan'!$X$6&gt;0,"D",IF(OR('Final scan'!$Y$6&gt;0,SUM('Final scan'!$R$3:$S$3)&gt;0),"C",IF('Final scan'!$Z$6&gt;0,"B","A")))),"NA")</f>
        <v>C</v>
      </c>
      <c r="L8" s="2"/>
    </row>
    <row r="9" spans="1:12" ht="13" x14ac:dyDescent="0.3">
      <c r="A9" s="2"/>
      <c r="B9" s="108" t="s">
        <v>16</v>
      </c>
      <c r="C9" s="111">
        <v>2.1</v>
      </c>
      <c r="D9" s="2"/>
      <c r="E9" s="31" t="s">
        <v>17</v>
      </c>
      <c r="F9" s="22" t="s">
        <v>196</v>
      </c>
      <c r="G9" s="22" t="s">
        <v>196</v>
      </c>
      <c r="H9" s="2"/>
      <c r="I9" s="62" t="s">
        <v>18</v>
      </c>
      <c r="J9" s="63" t="str">
        <f>'Initial scan'!$J$1</f>
        <v>B</v>
      </c>
      <c r="K9" s="63" t="str">
        <f>'Final scan'!$J$6</f>
        <v>B</v>
      </c>
      <c r="L9" s="2"/>
    </row>
    <row r="10" spans="1:12" ht="13" x14ac:dyDescent="0.3">
      <c r="A10" s="2"/>
      <c r="B10" s="108" t="s">
        <v>19</v>
      </c>
      <c r="C10" s="110" t="s">
        <v>205</v>
      </c>
      <c r="D10" s="2"/>
      <c r="E10" s="31" t="s">
        <v>20</v>
      </c>
      <c r="F10" s="22" t="s">
        <v>206</v>
      </c>
      <c r="G10" s="22" t="s">
        <v>206</v>
      </c>
      <c r="H10" s="2"/>
      <c r="I10" s="62" t="s">
        <v>21</v>
      </c>
      <c r="J10" s="63" t="str">
        <f>IF(COUNTBLANK(init.doc)=6,"NA",_xlfn.XLOOKUP(COUNTIF(init.doc,"Yes"),doc.score.lookUp[document count],doc.score.lookUp[score],"",0))</f>
        <v>A</v>
      </c>
      <c r="K10" s="63" t="str">
        <f>IF(COUNTBLANK(final.doc)=6,"NA",_xlfn.XLOOKUP(COUNTIF(final.doc,"Yes"),doc.score.lookUp[document count],doc.score.lookUp[score],"",0))</f>
        <v>A</v>
      </c>
      <c r="L10" s="2"/>
    </row>
    <row r="11" spans="1:12" ht="13" x14ac:dyDescent="0.3">
      <c r="A11" s="2"/>
      <c r="B11" s="108" t="s">
        <v>22</v>
      </c>
      <c r="C11" s="112">
        <f>'Initial scan'!B1</f>
        <v>13</v>
      </c>
      <c r="D11" s="2"/>
      <c r="E11" s="31" t="s">
        <v>23</v>
      </c>
      <c r="F11" s="22" t="s">
        <v>206</v>
      </c>
      <c r="G11" s="22" t="s">
        <v>206</v>
      </c>
      <c r="H11" s="2"/>
      <c r="I11" s="62" t="s">
        <v>24</v>
      </c>
      <c r="J11" s="63" t="str">
        <f>IF('Initial scan'!$F$1="","NA",_xlfn.XLOOKUP('Initial scan'!$F$1,unitTest.score.lookUp[Unit test coverage],unitTest.score.lookUp[score],"",-1))</f>
        <v>E</v>
      </c>
      <c r="K11" s="63" t="str">
        <f>IF('Final scan'!$F$6="","NA",_xlfn.XLOOKUP('Final scan'!$F$6,unitTest.score.lookUp[Unit test coverage],unitTest.score.lookUp[score],"",-1))</f>
        <v>E</v>
      </c>
      <c r="L11" s="2"/>
    </row>
    <row r="12" spans="1:12" x14ac:dyDescent="0.25">
      <c r="A12" s="2"/>
      <c r="B12" s="2"/>
      <c r="C12" s="16"/>
      <c r="D12" s="2"/>
      <c r="E12" s="2"/>
      <c r="F12" s="2"/>
      <c r="G12" s="2"/>
      <c r="H12" s="2"/>
      <c r="I12" s="62" t="s">
        <v>25</v>
      </c>
      <c r="J12" s="63" t="str">
        <f>IF('Initial scan'!$K$1="","NA",_xlfn.XLOOKUP('Initial scan'!$K$1,dupli.score.lookUp[Duplication %],dupli.score.lookUp[score],"",1))</f>
        <v>C</v>
      </c>
      <c r="K12" s="63" t="str">
        <f>IF('Final scan'!$K$6="","NA",_xlfn.XLOOKUP('Final scan'!$K$6,dupli.score.lookUp[Duplication %],dupli.score.lookUp[score],"",1))</f>
        <v>C</v>
      </c>
      <c r="L12" s="2"/>
    </row>
    <row r="13" spans="1:12" ht="13" x14ac:dyDescent="0.3">
      <c r="A13" s="2"/>
      <c r="B13" s="14" t="s">
        <v>26</v>
      </c>
      <c r="C13" s="23">
        <v>45232</v>
      </c>
      <c r="D13" s="2"/>
      <c r="E13" s="2"/>
      <c r="F13" s="2"/>
      <c r="G13" s="2"/>
      <c r="H13" s="2"/>
      <c r="I13" s="62" t="s">
        <v>27</v>
      </c>
      <c r="J13" s="63" t="str">
        <f>IF('Initial scan'!$L$1="","NA",_xlfn.XLOOKUP('Initial scan'!$L$1,comment.score.lookUp[Comment %],comment.score.lookUp[Score],"",1))</f>
        <v>A</v>
      </c>
      <c r="K13" s="63" t="str">
        <f>IF('Final scan'!$L$6="","NA",_xlfn.XLOOKUP('Final scan'!$L$6,comment.score.lookUp[Comment %],comment.score.lookUp[Score],"",1))</f>
        <v>A</v>
      </c>
      <c r="L13" s="2"/>
    </row>
    <row r="14" spans="1:12" ht="13" x14ac:dyDescent="0.3">
      <c r="A14" s="2"/>
      <c r="B14" s="15" t="s">
        <v>28</v>
      </c>
      <c r="C14" s="23">
        <v>45256</v>
      </c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s="2" customFormat="1" x14ac:dyDescent="0.25"/>
    <row r="17" spans="2:11" s="2" customFormat="1" ht="27.65" customHeight="1" x14ac:dyDescent="0.25">
      <c r="B17" s="24" t="s">
        <v>29</v>
      </c>
      <c r="C17" s="121"/>
      <c r="D17" s="122"/>
      <c r="E17" s="122"/>
      <c r="F17" s="123"/>
      <c r="G17" s="11"/>
      <c r="J17" s="69" t="b">
        <f>COUNTA($C$5)=1</f>
        <v>1</v>
      </c>
      <c r="K17" s="69" t="b">
        <f>_xlfn.LET(_xlpm.rg,$K$6:$K$8,(COUNTIF(_xlpm.rg,"E")+COUNTIF(_xlpm.rg,"D"))=0)</f>
        <v>1</v>
      </c>
    </row>
    <row r="18" spans="2:11" s="2" customFormat="1" ht="13" x14ac:dyDescent="0.3">
      <c r="I18" s="67" t="s">
        <v>30</v>
      </c>
      <c r="J18" s="12" t="s">
        <v>4</v>
      </c>
      <c r="K18" s="13" t="s">
        <v>5</v>
      </c>
    </row>
    <row r="19" spans="2:11" s="2" customFormat="1" x14ac:dyDescent="0.25">
      <c r="I19" s="68" t="s">
        <v>31</v>
      </c>
      <c r="J19" s="66" t="b">
        <f>IF($J$17,(COUNTBLANK($C$5:$C$10)+COUNTBLANK($C$13))=0,"")</f>
        <v>1</v>
      </c>
      <c r="K19" s="66" t="b">
        <f>IF(J17,(COUNTBLANK($C$5:$C$10)+COUNTBLANK($C$14))=0,"")</f>
        <v>1</v>
      </c>
    </row>
    <row r="20" spans="2:11" s="2" customFormat="1" x14ac:dyDescent="0.25">
      <c r="I20" s="68" t="s">
        <v>21</v>
      </c>
      <c r="J20" s="66" t="b">
        <f>IF($J$17,IF($C$7=lookUp!$A$2,COUNTBLANK('Asset summary'!$F$6:$F$11)=0,COUNTBLANK('Asset summary'!$F$6:$F$10)=0),"")</f>
        <v>1</v>
      </c>
      <c r="K20" s="66" t="b">
        <f>IF($J$17,IF($C$7=lookUp!$A$2,COUNTBLANK('Asset summary'!$G$6:$G$11)=0,COUNTBLANK('Asset summary'!$G$6:$G$11)=0),"")</f>
        <v>1</v>
      </c>
    </row>
    <row r="21" spans="2:11" s="2" customFormat="1" x14ac:dyDescent="0.25">
      <c r="I21" s="68" t="s">
        <v>32</v>
      </c>
      <c r="J21" s="66" t="b">
        <f>IF($J$17,AND('Initial scan'!$B$1&gt;0,'Initial scan'!$AB$1),"")</f>
        <v>1</v>
      </c>
      <c r="K21" s="66" t="b">
        <f>IF($J$17,AND('Final scan'!$B$6&gt;0,'Final scan'!$AB$6,$K$17),"")</f>
        <v>1</v>
      </c>
    </row>
    <row r="22" spans="2:11" s="2" customFormat="1" ht="15.5" x14ac:dyDescent="0.35">
      <c r="J22" s="94" t="b">
        <f>IFERROR(AND(J19,J20,J21),FALSE)</f>
        <v>1</v>
      </c>
      <c r="K22" s="94" t="b">
        <f>IFERROR(AND(K19,K20,K21),FALSE)</f>
        <v>1</v>
      </c>
    </row>
    <row r="23" spans="2:11" s="2" customFormat="1" x14ac:dyDescent="0.25"/>
    <row r="24" spans="2:11" s="2" customFormat="1" x14ac:dyDescent="0.25"/>
    <row r="25" spans="2:11" s="2" customFormat="1" x14ac:dyDescent="0.25"/>
    <row r="26" spans="2:11" s="2" customFormat="1" x14ac:dyDescent="0.25"/>
    <row r="27" spans="2:11" s="2" customFormat="1" x14ac:dyDescent="0.25"/>
    <row r="28" spans="2:11" hidden="1" x14ac:dyDescent="0.25">
      <c r="B28" s="2"/>
      <c r="C28" s="2"/>
      <c r="D28" s="2"/>
      <c r="E28" s="2"/>
      <c r="F28" s="2"/>
      <c r="G28" s="2"/>
    </row>
  </sheetData>
  <sheetProtection algorithmName="SHA-512" hashValue="XNo4yu5UfeWCRUEqXgcst6w52Z3m2jMJNo37NaBX1Du18RoA7xNokOYbJtouu9a0wvYlYGhH9mv/nJILA+bwwA==" saltValue="W6c+gVScXCJMk+zA/pkD5g==" spinCount="100000" sheet="1" objects="1" scenarios="1"/>
  <protectedRanges>
    <protectedRange sqref="C5:C10 C13:C14 C17:F17 F6:G6 F8:G11" name="asset input"/>
  </protectedRanges>
  <mergeCells count="2">
    <mergeCell ref="C17:F17"/>
    <mergeCell ref="B2:K2"/>
  </mergeCells>
  <conditionalFormatting sqref="J6:K13">
    <cfRule type="cellIs" dxfId="135" priority="6" stopIfTrue="1" operator="equal">
      <formula>"E"</formula>
    </cfRule>
    <cfRule type="cellIs" dxfId="134" priority="7" stopIfTrue="1" operator="equal">
      <formula>"D"</formula>
    </cfRule>
    <cfRule type="cellIs" dxfId="133" priority="8" stopIfTrue="1" operator="equal">
      <formula>"C"</formula>
    </cfRule>
    <cfRule type="cellIs" dxfId="132" priority="9" stopIfTrue="1" operator="equal">
      <formula>"B"</formula>
    </cfRule>
    <cfRule type="cellIs" dxfId="131" priority="10" stopIfTrue="1" operator="equal">
      <formula>"A"</formula>
    </cfRule>
  </conditionalFormatting>
  <conditionalFormatting sqref="J19:K21">
    <cfRule type="cellIs" dxfId="130" priority="3" operator="equal">
      <formula>TRUE</formula>
    </cfRule>
    <cfRule type="cellIs" dxfId="129" priority="4" operator="equal">
      <formula>FALSE</formula>
    </cfRule>
  </conditionalFormatting>
  <conditionalFormatting sqref="J22:K22">
    <cfRule type="cellIs" dxfId="128" priority="1" operator="equal">
      <formula>TRUE</formula>
    </cfRule>
    <cfRule type="cellIs" dxfId="127" priority="2" operator="equal">
      <formula>FALSE</formula>
    </cfRule>
  </conditionalFormatting>
  <dataValidations count="4">
    <dataValidation type="list" allowBlank="1" showErrorMessage="1" sqref="C7" xr:uid="{BF546EB2-14D9-4929-B1F0-F31157C4A207}">
      <formula1>INDIRECT("classification[Asset Classification]")</formula1>
    </dataValidation>
    <dataValidation type="date" operator="greaterThan" allowBlank="1" showInputMessage="1" showErrorMessage="1" sqref="C13" xr:uid="{BE8B7C0D-BB9A-451F-BA56-B5F62DFF37E2}">
      <formula1>44927</formula1>
    </dataValidation>
    <dataValidation type="list" allowBlank="1" showInputMessage="1" showErrorMessage="1" sqref="F6:G6 F8:G11" xr:uid="{22404628-41C2-4998-A3DB-A7586F0320C4}">
      <formula1>"Yes,No"</formula1>
    </dataValidation>
    <dataValidation type="custom" operator="equal" allowBlank="1" showErrorMessage="1" error="please input correct jira #" sqref="C8" xr:uid="{43D94CDC-21CF-42CC-BD28-9E05E1906346}">
      <formula1>IFERROR(AND(LEFT(jira,5)="IPEOB",FIND("-",jira)=6,_xlfn.NUMBERVALUE(RIGHT(jira,4))&gt;0,LEN(jira)=10),FALSE)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4" name="Button 5">
              <controlPr defaultSize="0" print="0" autoFill="0" autoPict="0" macro="[0]!ResetData">
                <anchor moveWithCells="1" sizeWithCells="1">
                  <from>
                    <xdr:col>2</xdr:col>
                    <xdr:colOff>228600</xdr:colOff>
                    <xdr:row>18</xdr:row>
                    <xdr:rowOff>107950</xdr:rowOff>
                  </from>
                  <to>
                    <xdr:col>2</xdr:col>
                    <xdr:colOff>914400</xdr:colOff>
                    <xdr:row>20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updateTrackerInitial">
                <anchor moveWithCells="1" sizeWithCells="1">
                  <from>
                    <xdr:col>2</xdr:col>
                    <xdr:colOff>1022350</xdr:colOff>
                    <xdr:row>18</xdr:row>
                    <xdr:rowOff>107950</xdr:rowOff>
                  </from>
                  <to>
                    <xdr:col>2</xdr:col>
                    <xdr:colOff>2432050</xdr:colOff>
                    <xdr:row>20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Button 13">
              <controlPr defaultSize="0" print="0" autoFill="0" autoPict="0" macro="[0]!updateTrackerFinal">
                <anchor moveWithCells="1" sizeWithCells="1">
                  <from>
                    <xdr:col>2</xdr:col>
                    <xdr:colOff>2527300</xdr:colOff>
                    <xdr:row>18</xdr:row>
                    <xdr:rowOff>88900</xdr:rowOff>
                  </from>
                  <to>
                    <xdr:col>4</xdr:col>
                    <xdr:colOff>800100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C140D-6193-42DB-9BED-299167555C84}">
  <sheetPr codeName="Sheet2">
    <tabColor theme="5" tint="-0.499984740745262"/>
  </sheetPr>
  <dimension ref="A1:AE102"/>
  <sheetViews>
    <sheetView zoomScale="85" zoomScaleNormal="85" workbookViewId="0">
      <selection activeCell="E3" sqref="E3:F15"/>
    </sheetView>
  </sheetViews>
  <sheetFormatPr defaultRowHeight="14.5" x14ac:dyDescent="0.35"/>
  <cols>
    <col min="1" max="1" width="5.453125" customWidth="1"/>
    <col min="2" max="2" width="32.81640625" customWidth="1"/>
    <col min="3" max="4" width="10.54296875" customWidth="1"/>
    <col min="5" max="5" width="8.453125" customWidth="1"/>
    <col min="6" max="6" width="8.54296875" customWidth="1"/>
    <col min="7" max="7" width="10.453125" customWidth="1"/>
    <col min="8" max="8" width="15.453125" customWidth="1"/>
    <col min="9" max="9" width="9.453125" customWidth="1"/>
    <col min="10" max="10" width="12.453125" customWidth="1"/>
    <col min="11" max="11" width="12.1796875" customWidth="1"/>
    <col min="12" max="12" width="12.54296875" customWidth="1"/>
    <col min="23" max="26" width="10" customWidth="1"/>
    <col min="27" max="27" width="41.81640625" customWidth="1"/>
    <col min="28" max="28" width="10.81640625" customWidth="1"/>
  </cols>
  <sheetData>
    <row r="1" spans="1:31" s="4" customFormat="1" x14ac:dyDescent="0.35">
      <c r="B1" s="4">
        <f>COUNTA(initialScan[Repository Name])</f>
        <v>13</v>
      </c>
      <c r="D1" s="4" t="str">
        <f>IF(COUNTA(initialScan[Readme?])&gt;0,IF(COUNTIF(initialScan[Readme?],"No")&gt;0,"No","Yes"),"")</f>
        <v>Yes</v>
      </c>
      <c r="E1" s="4" t="str">
        <f>IF(COUNTA(initialScan[Unit tests present?])&gt;0,IF(COUNTIF(initialScan[Unit tests present?],"Yes")&gt;0,"Yes",IF(COUNTIF(initialScan[Unit tests present?],"No")&gt;0,"No Test","NA")),"")</f>
        <v>Yes</v>
      </c>
      <c r="F1" s="27" t="str">
        <f>IF(E1="Yes",IF(COUNT(G1,AC1)=2,_xlfn.LET(_xlpm.ut,AC1/G1,IF(_xlpm.ut=0,"No Test",_xlpm.ut)),""),E1)</f>
        <v>No Test</v>
      </c>
      <c r="G1" s="4">
        <f>IF(COUNT(initialScan[No of lines])&gt;0,SUM(initialScan[No of lines]),"")</f>
        <v>62990</v>
      </c>
      <c r="I1" s="4" t="str">
        <f>_xlfn.LET(_xlpm.item,initialScan[Reliability Score],IF(COUNTA(_xlpm.item)&gt;0,IF(COUNTIF(_xlpm.item,"E")&gt;0,"E",IF(COUNTIF(_xlpm.item,"D")&gt;0,"D",IF(COUNTIF(_xlpm.item,"C")&gt;0,"C",IF(COUNTIF(_xlpm.item,"B")&gt;0,"B",IF(COUNTIF(_xlpm.item,"A")&gt;0,"A","NA"))))),"NA"))</f>
        <v>E</v>
      </c>
      <c r="J1" s="4" t="str">
        <f>_xlfn.LET(_xlpm.item,initialScan[Maintainability rating],IF(COUNTA(_xlpm.item)&gt;0,IF(COUNTIF(_xlpm.item,"E")&gt;0,"E",IF(COUNTIF(_xlpm.item,"D")&gt;0,"D",IF(COUNTIF(_xlpm.item,"C")&gt;0,"C",IF(COUNTIF(_xlpm.item,"B")&gt;0,"B",IF(COUNTIF(_xlpm.item,"A")&gt;0,"A","NA"))))),"NA"))</f>
        <v>B</v>
      </c>
      <c r="K1" s="27">
        <f>IF(COUNT($G$1,AD1)=2,AD1/$G$1,"")</f>
        <v>9.5083124305445327E-2</v>
      </c>
      <c r="L1" s="27">
        <f>IF(COUNT($G$1,AE1)=2,AE1/$G$1,"")</f>
        <v>0.10017690109541194</v>
      </c>
      <c r="M1" s="4">
        <f>IF(COUNT(initialScan[SAST (High)])&gt;0,SUM(initialScan[SAST (High)]),"")</f>
        <v>5</v>
      </c>
      <c r="N1" s="4">
        <f>IF(COUNT(initialScan[SAST (Medium)])&gt;0,SUM(initialScan[SAST (Medium)]),"")</f>
        <v>36</v>
      </c>
      <c r="O1" s="4">
        <f>IF(COUNT(initialScan[SAST (Low)])&gt;0,SUM(initialScan[SAST (Low)]),"")</f>
        <v>0</v>
      </c>
      <c r="P1" s="4">
        <f>IF(COUNT(initialScan[FOSS -Security (Critical)])&gt;0,SUM(initialScan[FOSS -Security (Critical)]),"")</f>
        <v>22</v>
      </c>
      <c r="Q1" s="4">
        <f>IF(COUNT(initialScan[FOSS -Security (High)])&gt;0,SUM(initialScan[FOSS -Security (High)]),"")</f>
        <v>91</v>
      </c>
      <c r="R1" s="4">
        <f>IF(COUNT(initialScan[FOSS -Security (Medium)])&gt;0,SUM(initialScan[FOSS -Security (Medium)]),"")</f>
        <v>102</v>
      </c>
      <c r="S1" s="4">
        <f>IF(COUNT(initialScan[FOSS -Security (Low)])&gt;0,SUM(initialScan[FOSS -Security (Low)]),"")</f>
        <v>4</v>
      </c>
      <c r="T1" s="4">
        <f>IF(COUNT(initialScan[FOSS -License (High)])&gt;0,SUM(initialScan[FOSS -License (High)]),"")</f>
        <v>27</v>
      </c>
      <c r="U1" s="4">
        <f>IF(COUNT(initialScan[FOSS -License (Medium)])&gt;0,SUM(initialScan[FOSS -License (Medium)]),"")</f>
        <v>195</v>
      </c>
      <c r="V1" s="4">
        <f>IF(COUNT(initialScan[FOSS -License (Low)])&gt;0,SUM(initialScan[FOSS -License (Low)]),"")</f>
        <v>0</v>
      </c>
      <c r="W1" s="4">
        <f>IF(COUNT(initialScan[Reliability Bug (Blocker)])&gt;0,SUM(initialScan[Reliability Bug (Blocker)]),"")</f>
        <v>1</v>
      </c>
      <c r="X1" s="4">
        <f>IF(COUNT(initialScan[Reliability Bug (Critical)])&gt;0,SUM(initialScan[Reliability Bug (Critical)]),"")</f>
        <v>2</v>
      </c>
      <c r="Y1" s="4">
        <f>IF(COUNT(initialScan[Reliability Bug (Major)])&gt;0,SUM(initialScan[Reliability Bug (Major)]),"")</f>
        <v>38</v>
      </c>
      <c r="Z1" s="4">
        <f>IF(COUNT(initialScan[Reliability Bug (Minor)])&gt;0,SUM(initialScan[Reliability Bug (Minor)]),"")</f>
        <v>39</v>
      </c>
      <c r="AB1" s="4" t="b">
        <f>COUNTIF(initialScan[Complete?],FALSE)=0</f>
        <v>1</v>
      </c>
      <c r="AC1" s="28">
        <f>IF(COUNT(initialScan[unit test - lines covered])&gt;0,SUM(initialScan[unit test - lines covered]),"")</f>
        <v>0</v>
      </c>
      <c r="AD1" s="28">
        <f>IF(COUNT(initialScan[duplicated lines])&gt;0,SUM(initialScan[duplicated lines]),"")</f>
        <v>5989.286000000001</v>
      </c>
      <c r="AE1" s="28">
        <f>IF(COUNT(initialScan[commented lines])&gt;0,SUM(initialScan[commented lines]),"")</f>
        <v>6310.1429999999982</v>
      </c>
    </row>
    <row r="2" spans="1:31" s="3" customFormat="1" ht="36" x14ac:dyDescent="0.35">
      <c r="A2" s="5" t="s">
        <v>33</v>
      </c>
      <c r="B2" s="5" t="s">
        <v>34</v>
      </c>
      <c r="C2" s="5" t="s">
        <v>35</v>
      </c>
      <c r="D2" s="5" t="s">
        <v>36</v>
      </c>
      <c r="E2" s="5" t="s">
        <v>37</v>
      </c>
      <c r="F2" s="5" t="s">
        <v>38</v>
      </c>
      <c r="G2" s="5" t="s">
        <v>39</v>
      </c>
      <c r="H2" s="5" t="s">
        <v>40</v>
      </c>
      <c r="I2" s="5" t="s">
        <v>41</v>
      </c>
      <c r="J2" s="5" t="s">
        <v>42</v>
      </c>
      <c r="K2" s="5" t="s">
        <v>43</v>
      </c>
      <c r="L2" s="5" t="s">
        <v>44</v>
      </c>
      <c r="M2" s="6" t="s">
        <v>45</v>
      </c>
      <c r="N2" s="6" t="s">
        <v>46</v>
      </c>
      <c r="O2" s="6" t="s">
        <v>47</v>
      </c>
      <c r="P2" s="7" t="s">
        <v>48</v>
      </c>
      <c r="Q2" s="7" t="s">
        <v>49</v>
      </c>
      <c r="R2" s="7" t="s">
        <v>50</v>
      </c>
      <c r="S2" s="7" t="s">
        <v>51</v>
      </c>
      <c r="T2" s="8" t="s">
        <v>52</v>
      </c>
      <c r="U2" s="8" t="s">
        <v>53</v>
      </c>
      <c r="V2" s="8" t="s">
        <v>54</v>
      </c>
      <c r="W2" s="9" t="s">
        <v>55</v>
      </c>
      <c r="X2" s="9" t="s">
        <v>56</v>
      </c>
      <c r="Y2" s="9" t="s">
        <v>57</v>
      </c>
      <c r="Z2" s="9" t="s">
        <v>58</v>
      </c>
      <c r="AA2" s="5" t="s">
        <v>29</v>
      </c>
      <c r="AB2" s="25" t="s">
        <v>59</v>
      </c>
      <c r="AC2" s="25" t="s">
        <v>60</v>
      </c>
      <c r="AD2" s="25" t="s">
        <v>61</v>
      </c>
      <c r="AE2" s="25" t="s">
        <v>62</v>
      </c>
    </row>
    <row r="3" spans="1:31" x14ac:dyDescent="0.35">
      <c r="A3" s="18">
        <v>1</v>
      </c>
      <c r="B3" s="114" t="s">
        <v>207</v>
      </c>
      <c r="C3" s="19" t="s">
        <v>215</v>
      </c>
      <c r="D3" s="19" t="s">
        <v>206</v>
      </c>
      <c r="E3" s="18" t="s">
        <v>139</v>
      </c>
      <c r="F3" s="20" t="s">
        <v>196</v>
      </c>
      <c r="G3" s="21">
        <v>25673</v>
      </c>
      <c r="H3" s="118" t="s">
        <v>207</v>
      </c>
      <c r="I3" s="18" t="s">
        <v>137</v>
      </c>
      <c r="J3" s="18" t="s">
        <v>129</v>
      </c>
      <c r="K3" s="20">
        <v>9.7000000000000003E-2</v>
      </c>
      <c r="L3" s="20">
        <v>0.12</v>
      </c>
      <c r="M3" s="18">
        <v>0</v>
      </c>
      <c r="N3" s="18">
        <v>20</v>
      </c>
      <c r="O3" s="18">
        <v>0</v>
      </c>
      <c r="P3" s="18">
        <v>5</v>
      </c>
      <c r="Q3" s="18">
        <v>25</v>
      </c>
      <c r="R3" s="18">
        <v>30</v>
      </c>
      <c r="S3" s="18">
        <v>1</v>
      </c>
      <c r="T3" s="18">
        <v>4</v>
      </c>
      <c r="U3" s="18">
        <v>17</v>
      </c>
      <c r="V3" s="18">
        <v>0</v>
      </c>
      <c r="W3" s="18">
        <v>1</v>
      </c>
      <c r="X3" s="18">
        <v>2</v>
      </c>
      <c r="Y3" s="18">
        <v>23</v>
      </c>
      <c r="Z3" s="18">
        <v>17</v>
      </c>
      <c r="AA3" s="19"/>
      <c r="AB3" s="19" t="b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>1</v>
      </c>
      <c r="AC3" s="18" t="str">
        <f>IF(COUNT(initialScan[[#This Row],[Unit test coverage]:[No of lines]])=2,initialScan[[#This Row],[Unit test coverage]]*initialScan[[#This Row],[No of lines]],"")</f>
        <v/>
      </c>
      <c r="AD3" s="18">
        <f>IF(COUNT(initialScan[[#This Row],[Duplication %]],initialScan[[#This Row],[No of lines]])=2,initialScan[[#This Row],[No of lines]]*initialScan[[#This Row],[Duplication %]],"")</f>
        <v>2490.2809999999999</v>
      </c>
      <c r="AE3" s="18">
        <f>IF(COUNT(initialScan[[#This Row],[Comments (%)]],initialScan[[#This Row],[No of lines]])=2,initialScan[[#This Row],[No of lines]]*initialScan[[#This Row],[Comments (%)]],"")</f>
        <v>3080.7599999999998</v>
      </c>
    </row>
    <row r="4" spans="1:31" x14ac:dyDescent="0.35">
      <c r="A4" s="18">
        <v>2</v>
      </c>
      <c r="B4" s="115" t="s">
        <v>208</v>
      </c>
      <c r="C4" s="19" t="s">
        <v>214</v>
      </c>
      <c r="D4" s="19" t="s">
        <v>206</v>
      </c>
      <c r="E4" s="18" t="s">
        <v>206</v>
      </c>
      <c r="F4" s="20">
        <v>0</v>
      </c>
      <c r="G4" s="21">
        <v>7039</v>
      </c>
      <c r="H4" s="117" t="s">
        <v>208</v>
      </c>
      <c r="I4" s="18" t="s">
        <v>129</v>
      </c>
      <c r="J4" s="18" t="s">
        <v>129</v>
      </c>
      <c r="K4" s="20">
        <v>1.4999999999999999E-2</v>
      </c>
      <c r="L4" s="20">
        <v>9.0999999999999998E-2</v>
      </c>
      <c r="M4" s="18">
        <v>0</v>
      </c>
      <c r="N4" s="18">
        <v>1</v>
      </c>
      <c r="O4" s="18">
        <v>0</v>
      </c>
      <c r="P4" s="18">
        <v>3</v>
      </c>
      <c r="Q4" s="18">
        <v>6</v>
      </c>
      <c r="R4" s="18">
        <v>8</v>
      </c>
      <c r="S4" s="18">
        <v>0</v>
      </c>
      <c r="T4" s="18">
        <v>2</v>
      </c>
      <c r="U4" s="18">
        <v>20</v>
      </c>
      <c r="V4" s="18">
        <v>0</v>
      </c>
      <c r="W4" s="18">
        <v>0</v>
      </c>
      <c r="X4" s="18">
        <v>0</v>
      </c>
      <c r="Y4" s="18">
        <v>0</v>
      </c>
      <c r="Z4" s="18">
        <v>0</v>
      </c>
      <c r="AA4" s="19"/>
      <c r="AB4" s="19" t="b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>1</v>
      </c>
      <c r="AC4" s="18">
        <f>IF(COUNT(initialScan[[#This Row],[Unit test coverage]:[No of lines]])=2,initialScan[[#This Row],[Unit test coverage]]*initialScan[[#This Row],[No of lines]],"")</f>
        <v>0</v>
      </c>
      <c r="AD4" s="18">
        <f>IF(COUNT(initialScan[[#This Row],[Duplication %]],initialScan[[#This Row],[No of lines]])=2,initialScan[[#This Row],[No of lines]]*initialScan[[#This Row],[Duplication %]],"")</f>
        <v>105.58499999999999</v>
      </c>
      <c r="AE4" s="18">
        <f>IF(COUNT(initialScan[[#This Row],[Comments (%)]],initialScan[[#This Row],[No of lines]])=2,initialScan[[#This Row],[No of lines]]*initialScan[[#This Row],[Comments (%)]],"")</f>
        <v>640.54899999999998</v>
      </c>
    </row>
    <row r="5" spans="1:31" x14ac:dyDescent="0.35">
      <c r="A5" s="18">
        <v>3</v>
      </c>
      <c r="B5" s="115" t="s">
        <v>209</v>
      </c>
      <c r="C5" s="19" t="s">
        <v>214</v>
      </c>
      <c r="D5" s="19" t="s">
        <v>206</v>
      </c>
      <c r="E5" s="18" t="s">
        <v>206</v>
      </c>
      <c r="F5" s="20">
        <v>0</v>
      </c>
      <c r="G5" s="21">
        <v>3410</v>
      </c>
      <c r="H5" s="117" t="s">
        <v>216</v>
      </c>
      <c r="I5" s="18" t="s">
        <v>133</v>
      </c>
      <c r="J5" s="18" t="s">
        <v>129</v>
      </c>
      <c r="K5" s="20">
        <v>4.0000000000000001E-3</v>
      </c>
      <c r="L5" s="20">
        <v>0.104</v>
      </c>
      <c r="M5" s="18">
        <v>5</v>
      </c>
      <c r="N5" s="18">
        <v>15</v>
      </c>
      <c r="O5" s="18">
        <v>0</v>
      </c>
      <c r="P5" s="18">
        <v>4</v>
      </c>
      <c r="Q5" s="18">
        <v>8</v>
      </c>
      <c r="R5" s="18">
        <v>8</v>
      </c>
      <c r="S5" s="18">
        <v>0</v>
      </c>
      <c r="T5" s="18">
        <v>0</v>
      </c>
      <c r="U5" s="18">
        <v>17</v>
      </c>
      <c r="V5" s="18">
        <v>0</v>
      </c>
      <c r="W5" s="18">
        <v>0</v>
      </c>
      <c r="X5" s="18">
        <v>0</v>
      </c>
      <c r="Y5" s="18">
        <v>2</v>
      </c>
      <c r="Z5" s="18">
        <v>0</v>
      </c>
      <c r="AA5" s="19"/>
      <c r="AB5" s="19" t="b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>1</v>
      </c>
      <c r="AC5" s="18">
        <f>IF(COUNT(initialScan[[#This Row],[Unit test coverage]:[No of lines]])=2,initialScan[[#This Row],[Unit test coverage]]*initialScan[[#This Row],[No of lines]],"")</f>
        <v>0</v>
      </c>
      <c r="AD5" s="18">
        <f>IF(COUNT(initialScan[[#This Row],[Duplication %]],initialScan[[#This Row],[No of lines]])=2,initialScan[[#This Row],[No of lines]]*initialScan[[#This Row],[Duplication %]],"")</f>
        <v>13.64</v>
      </c>
      <c r="AE5" s="18">
        <f>IF(COUNT(initialScan[[#This Row],[Comments (%)]],initialScan[[#This Row],[No of lines]])=2,initialScan[[#This Row],[No of lines]]*initialScan[[#This Row],[Comments (%)]],"")</f>
        <v>354.64</v>
      </c>
    </row>
    <row r="6" spans="1:31" x14ac:dyDescent="0.35">
      <c r="A6" s="18">
        <v>4</v>
      </c>
      <c r="B6" s="115" t="s">
        <v>210</v>
      </c>
      <c r="C6" s="19" t="s">
        <v>214</v>
      </c>
      <c r="D6" s="19" t="s">
        <v>206</v>
      </c>
      <c r="E6" s="18" t="s">
        <v>139</v>
      </c>
      <c r="F6" s="20" t="s">
        <v>196</v>
      </c>
      <c r="G6" s="21">
        <v>7791</v>
      </c>
      <c r="H6" s="117" t="s">
        <v>217</v>
      </c>
      <c r="I6" s="18" t="s">
        <v>131</v>
      </c>
      <c r="J6" s="18" t="s">
        <v>131</v>
      </c>
      <c r="K6" s="20">
        <v>0.38</v>
      </c>
      <c r="L6" s="20">
        <v>6.6000000000000003E-2</v>
      </c>
      <c r="M6" s="18">
        <v>0</v>
      </c>
      <c r="N6" s="18">
        <v>0</v>
      </c>
      <c r="O6" s="18">
        <v>0</v>
      </c>
      <c r="P6" s="18">
        <v>1</v>
      </c>
      <c r="Q6" s="18">
        <v>5</v>
      </c>
      <c r="R6" s="18">
        <v>2</v>
      </c>
      <c r="S6" s="18">
        <v>1</v>
      </c>
      <c r="T6" s="18">
        <v>1</v>
      </c>
      <c r="U6" s="18">
        <v>7</v>
      </c>
      <c r="V6" s="18">
        <v>0</v>
      </c>
      <c r="W6" s="18">
        <v>0</v>
      </c>
      <c r="X6" s="18">
        <v>0</v>
      </c>
      <c r="Y6" s="18">
        <v>0</v>
      </c>
      <c r="Z6" s="18">
        <v>22</v>
      </c>
      <c r="AA6" s="19"/>
      <c r="AB6" s="19" t="b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>1</v>
      </c>
      <c r="AC6" s="18" t="str">
        <f>IF(COUNT(initialScan[[#This Row],[Unit test coverage]:[No of lines]])=2,initialScan[[#This Row],[Unit test coverage]]*initialScan[[#This Row],[No of lines]],"")</f>
        <v/>
      </c>
      <c r="AD6" s="18">
        <f>IF(COUNT(initialScan[[#This Row],[Duplication %]],initialScan[[#This Row],[No of lines]])=2,initialScan[[#This Row],[No of lines]]*initialScan[[#This Row],[Duplication %]],"")</f>
        <v>2960.58</v>
      </c>
      <c r="AE6" s="18">
        <f>IF(COUNT(initialScan[[#This Row],[Comments (%)]],initialScan[[#This Row],[No of lines]])=2,initialScan[[#This Row],[No of lines]]*initialScan[[#This Row],[Comments (%)]],"")</f>
        <v>514.20600000000002</v>
      </c>
    </row>
    <row r="7" spans="1:31" x14ac:dyDescent="0.35">
      <c r="A7" s="18">
        <v>5</v>
      </c>
      <c r="B7" s="115" t="s">
        <v>211</v>
      </c>
      <c r="C7" s="19" t="s">
        <v>214</v>
      </c>
      <c r="D7" s="19" t="s">
        <v>206</v>
      </c>
      <c r="E7" s="18" t="s">
        <v>139</v>
      </c>
      <c r="F7" s="20" t="s">
        <v>196</v>
      </c>
      <c r="G7" s="21">
        <v>2646</v>
      </c>
      <c r="H7" s="117" t="s">
        <v>211</v>
      </c>
      <c r="I7" s="18" t="s">
        <v>129</v>
      </c>
      <c r="J7" s="18" t="s">
        <v>129</v>
      </c>
      <c r="K7" s="20">
        <v>1.2E-2</v>
      </c>
      <c r="L7" s="20">
        <v>8.5000000000000006E-2</v>
      </c>
      <c r="M7" s="18">
        <v>0</v>
      </c>
      <c r="N7" s="18">
        <v>0</v>
      </c>
      <c r="O7" s="18">
        <v>0</v>
      </c>
      <c r="P7" s="18">
        <v>1</v>
      </c>
      <c r="Q7" s="18">
        <v>4</v>
      </c>
      <c r="R7" s="18">
        <v>4</v>
      </c>
      <c r="S7" s="18">
        <v>0</v>
      </c>
      <c r="T7" s="18">
        <v>2</v>
      </c>
      <c r="U7" s="18">
        <v>13</v>
      </c>
      <c r="V7" s="18">
        <v>0</v>
      </c>
      <c r="W7" s="18">
        <v>0</v>
      </c>
      <c r="X7" s="18">
        <v>0</v>
      </c>
      <c r="Y7" s="18">
        <v>0</v>
      </c>
      <c r="Z7" s="18">
        <v>0</v>
      </c>
      <c r="AA7" s="19"/>
      <c r="AB7" s="19" t="b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>1</v>
      </c>
      <c r="AC7" s="18" t="str">
        <f>IF(COUNT(initialScan[[#This Row],[Unit test coverage]:[No of lines]])=2,initialScan[[#This Row],[Unit test coverage]]*initialScan[[#This Row],[No of lines]],"")</f>
        <v/>
      </c>
      <c r="AD7" s="18">
        <f>IF(COUNT(initialScan[[#This Row],[Duplication %]],initialScan[[#This Row],[No of lines]])=2,initialScan[[#This Row],[No of lines]]*initialScan[[#This Row],[Duplication %]],"")</f>
        <v>31.751999999999999</v>
      </c>
      <c r="AE7" s="18">
        <f>IF(COUNT(initialScan[[#This Row],[Comments (%)]],initialScan[[#This Row],[No of lines]])=2,initialScan[[#This Row],[No of lines]]*initialScan[[#This Row],[Comments (%)]],"")</f>
        <v>224.91000000000003</v>
      </c>
    </row>
    <row r="8" spans="1:31" x14ac:dyDescent="0.35">
      <c r="A8" s="18">
        <v>6</v>
      </c>
      <c r="B8" s="115" t="s">
        <v>218</v>
      </c>
      <c r="C8" s="19" t="s">
        <v>214</v>
      </c>
      <c r="D8" s="19" t="s">
        <v>206</v>
      </c>
      <c r="E8" s="18" t="s">
        <v>139</v>
      </c>
      <c r="F8" s="20" t="s">
        <v>196</v>
      </c>
      <c r="G8" s="21">
        <v>1601</v>
      </c>
      <c r="H8" s="117" t="s">
        <v>218</v>
      </c>
      <c r="I8" s="18" t="s">
        <v>129</v>
      </c>
      <c r="J8" s="18" t="s">
        <v>129</v>
      </c>
      <c r="K8" s="20">
        <v>5.1999999999999998E-2</v>
      </c>
      <c r="L8" s="20">
        <v>4.8000000000000001E-2</v>
      </c>
      <c r="M8" s="18">
        <v>0</v>
      </c>
      <c r="N8" s="18">
        <v>0</v>
      </c>
      <c r="O8" s="18">
        <v>0</v>
      </c>
      <c r="P8" s="18">
        <v>1</v>
      </c>
      <c r="Q8" s="18">
        <v>4</v>
      </c>
      <c r="R8" s="18">
        <v>4</v>
      </c>
      <c r="S8" s="18">
        <v>0</v>
      </c>
      <c r="T8" s="18">
        <v>2</v>
      </c>
      <c r="U8" s="18">
        <v>13</v>
      </c>
      <c r="V8" s="18">
        <v>0</v>
      </c>
      <c r="W8" s="18">
        <v>0</v>
      </c>
      <c r="X8" s="18">
        <v>0</v>
      </c>
      <c r="Y8" s="18">
        <v>0</v>
      </c>
      <c r="Z8" s="18">
        <v>0</v>
      </c>
      <c r="AA8" s="19"/>
      <c r="AB8" s="19" t="b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>1</v>
      </c>
      <c r="AC8" s="18" t="str">
        <f>IF(COUNT(initialScan[[#This Row],[Unit test coverage]:[No of lines]])=2,initialScan[[#This Row],[Unit test coverage]]*initialScan[[#This Row],[No of lines]],"")</f>
        <v/>
      </c>
      <c r="AD8" s="18">
        <f>IF(COUNT(initialScan[[#This Row],[Duplication %]],initialScan[[#This Row],[No of lines]])=2,initialScan[[#This Row],[No of lines]]*initialScan[[#This Row],[Duplication %]],"")</f>
        <v>83.251999999999995</v>
      </c>
      <c r="AE8" s="18">
        <f>IF(COUNT(initialScan[[#This Row],[Comments (%)]],initialScan[[#This Row],[No of lines]])=2,initialScan[[#This Row],[No of lines]]*initialScan[[#This Row],[Comments (%)]],"")</f>
        <v>76.847999999999999</v>
      </c>
    </row>
    <row r="9" spans="1:31" x14ac:dyDescent="0.35">
      <c r="A9" s="18">
        <v>7</v>
      </c>
      <c r="B9" s="115" t="s">
        <v>219</v>
      </c>
      <c r="C9" s="19" t="s">
        <v>214</v>
      </c>
      <c r="D9" s="19" t="s">
        <v>206</v>
      </c>
      <c r="E9" s="18" t="s">
        <v>139</v>
      </c>
      <c r="F9" s="20" t="s">
        <v>196</v>
      </c>
      <c r="G9" s="21">
        <v>865</v>
      </c>
      <c r="H9" s="117" t="s">
        <v>219</v>
      </c>
      <c r="I9" s="18" t="s">
        <v>129</v>
      </c>
      <c r="J9" s="18" t="s">
        <v>129</v>
      </c>
      <c r="K9" s="20">
        <v>2.1000000000000001E-2</v>
      </c>
      <c r="L9" s="20">
        <v>7.8E-2</v>
      </c>
      <c r="M9" s="18">
        <v>0</v>
      </c>
      <c r="N9" s="18">
        <v>0</v>
      </c>
      <c r="O9" s="18">
        <v>0</v>
      </c>
      <c r="P9" s="18">
        <v>1</v>
      </c>
      <c r="Q9" s="18">
        <v>4</v>
      </c>
      <c r="R9" s="18">
        <v>4</v>
      </c>
      <c r="S9" s="18">
        <v>0</v>
      </c>
      <c r="T9" s="18">
        <v>2</v>
      </c>
      <c r="U9" s="18">
        <v>14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19"/>
      <c r="AB9" s="19" t="b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>1</v>
      </c>
      <c r="AC9" s="18" t="str">
        <f>IF(COUNT(initialScan[[#This Row],[Unit test coverage]:[No of lines]])=2,initialScan[[#This Row],[Unit test coverage]]*initialScan[[#This Row],[No of lines]],"")</f>
        <v/>
      </c>
      <c r="AD9" s="18">
        <f>IF(COUNT(initialScan[[#This Row],[Duplication %]],initialScan[[#This Row],[No of lines]])=2,initialScan[[#This Row],[No of lines]]*initialScan[[#This Row],[Duplication %]],"")</f>
        <v>18.165000000000003</v>
      </c>
      <c r="AE9" s="18">
        <f>IF(COUNT(initialScan[[#This Row],[Comments (%)]],initialScan[[#This Row],[No of lines]])=2,initialScan[[#This Row],[No of lines]]*initialScan[[#This Row],[Comments (%)]],"")</f>
        <v>67.47</v>
      </c>
    </row>
    <row r="10" spans="1:31" x14ac:dyDescent="0.35">
      <c r="A10" s="18">
        <v>8</v>
      </c>
      <c r="B10" s="115" t="s">
        <v>220</v>
      </c>
      <c r="C10" s="19" t="s">
        <v>214</v>
      </c>
      <c r="D10" s="19" t="s">
        <v>206</v>
      </c>
      <c r="E10" s="18" t="s">
        <v>139</v>
      </c>
      <c r="F10" s="20" t="s">
        <v>196</v>
      </c>
      <c r="G10" s="21">
        <v>2579</v>
      </c>
      <c r="H10" s="117" t="s">
        <v>220</v>
      </c>
      <c r="I10" s="18" t="s">
        <v>129</v>
      </c>
      <c r="J10" s="18" t="s">
        <v>129</v>
      </c>
      <c r="K10" s="20">
        <v>6.0000000000000001E-3</v>
      </c>
      <c r="L10" s="20">
        <v>8.5999999999999993E-2</v>
      </c>
      <c r="M10" s="18">
        <v>0</v>
      </c>
      <c r="N10" s="18">
        <v>0</v>
      </c>
      <c r="O10" s="18">
        <v>0</v>
      </c>
      <c r="P10" s="18">
        <v>1</v>
      </c>
      <c r="Q10" s="18">
        <v>4</v>
      </c>
      <c r="R10" s="18">
        <v>4</v>
      </c>
      <c r="S10" s="18">
        <v>0</v>
      </c>
      <c r="T10" s="18">
        <v>2</v>
      </c>
      <c r="U10" s="18">
        <v>14</v>
      </c>
      <c r="V10" s="18">
        <v>0</v>
      </c>
      <c r="W10" s="18">
        <v>0</v>
      </c>
      <c r="X10" s="18">
        <v>0</v>
      </c>
      <c r="Y10" s="18">
        <v>0</v>
      </c>
      <c r="Z10" s="18">
        <v>0</v>
      </c>
      <c r="AA10" s="19"/>
      <c r="AB10" s="19" t="b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>1</v>
      </c>
      <c r="AC10" s="18" t="str">
        <f>IF(COUNT(initialScan[[#This Row],[Unit test coverage]:[No of lines]])=2,initialScan[[#This Row],[Unit test coverage]]*initialScan[[#This Row],[No of lines]],"")</f>
        <v/>
      </c>
      <c r="AD10" s="18">
        <f>IF(COUNT(initialScan[[#This Row],[Duplication %]],initialScan[[#This Row],[No of lines]])=2,initialScan[[#This Row],[No of lines]]*initialScan[[#This Row],[Duplication %]],"")</f>
        <v>15.474</v>
      </c>
      <c r="AE10" s="18">
        <f>IF(COUNT(initialScan[[#This Row],[Comments (%)]],initialScan[[#This Row],[No of lines]])=2,initialScan[[#This Row],[No of lines]]*initialScan[[#This Row],[Comments (%)]],"")</f>
        <v>221.79399999999998</v>
      </c>
    </row>
    <row r="11" spans="1:31" x14ac:dyDescent="0.35">
      <c r="A11" s="18">
        <v>9</v>
      </c>
      <c r="B11" s="115" t="s">
        <v>221</v>
      </c>
      <c r="C11" s="19" t="s">
        <v>214</v>
      </c>
      <c r="D11" s="19" t="s">
        <v>206</v>
      </c>
      <c r="E11" s="18" t="s">
        <v>139</v>
      </c>
      <c r="F11" s="20" t="s">
        <v>196</v>
      </c>
      <c r="G11" s="21">
        <v>1609</v>
      </c>
      <c r="H11" s="117" t="s">
        <v>221</v>
      </c>
      <c r="I11" s="18" t="s">
        <v>129</v>
      </c>
      <c r="J11" s="18" t="s">
        <v>129</v>
      </c>
      <c r="K11" s="20">
        <v>9.6000000000000002E-2</v>
      </c>
      <c r="L11" s="20">
        <v>0.01</v>
      </c>
      <c r="M11" s="18">
        <v>0</v>
      </c>
      <c r="N11" s="18">
        <v>0</v>
      </c>
      <c r="O11" s="18">
        <v>0</v>
      </c>
      <c r="P11" s="18">
        <v>1</v>
      </c>
      <c r="Q11" s="18">
        <v>4</v>
      </c>
      <c r="R11" s="18">
        <v>5</v>
      </c>
      <c r="S11" s="18">
        <v>0</v>
      </c>
      <c r="T11" s="18">
        <v>2</v>
      </c>
      <c r="U11" s="18">
        <v>13</v>
      </c>
      <c r="V11" s="18">
        <v>0</v>
      </c>
      <c r="W11" s="18">
        <v>0</v>
      </c>
      <c r="X11" s="18">
        <v>0</v>
      </c>
      <c r="Y11" s="18">
        <v>0</v>
      </c>
      <c r="Z11" s="18">
        <v>0</v>
      </c>
      <c r="AA11" s="19"/>
      <c r="AB11" s="19" t="b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>1</v>
      </c>
      <c r="AC11" s="18" t="str">
        <f>IF(COUNT(initialScan[[#This Row],[Unit test coverage]:[No of lines]])=2,initialScan[[#This Row],[Unit test coverage]]*initialScan[[#This Row],[No of lines]],"")</f>
        <v/>
      </c>
      <c r="AD11" s="18">
        <f>IF(COUNT(initialScan[[#This Row],[Duplication %]],initialScan[[#This Row],[No of lines]])=2,initialScan[[#This Row],[No of lines]]*initialScan[[#This Row],[Duplication %]],"")</f>
        <v>154.464</v>
      </c>
      <c r="AE11" s="18">
        <f>IF(COUNT(initialScan[[#This Row],[Comments (%)]],initialScan[[#This Row],[No of lines]])=2,initialScan[[#This Row],[No of lines]]*initialScan[[#This Row],[Comments (%)]],"")</f>
        <v>16.09</v>
      </c>
    </row>
    <row r="12" spans="1:31" x14ac:dyDescent="0.35">
      <c r="A12" s="18">
        <v>10</v>
      </c>
      <c r="B12" s="115" t="s">
        <v>222</v>
      </c>
      <c r="C12" s="19" t="s">
        <v>214</v>
      </c>
      <c r="D12" s="19" t="s">
        <v>206</v>
      </c>
      <c r="E12" s="18" t="s">
        <v>139</v>
      </c>
      <c r="F12" s="20" t="s">
        <v>196</v>
      </c>
      <c r="G12" s="21">
        <v>2329</v>
      </c>
      <c r="H12" s="117" t="s">
        <v>222</v>
      </c>
      <c r="I12" s="18" t="s">
        <v>133</v>
      </c>
      <c r="J12" s="18" t="s">
        <v>129</v>
      </c>
      <c r="K12" s="20">
        <v>1.2E-2</v>
      </c>
      <c r="L12" s="20">
        <v>0.123</v>
      </c>
      <c r="M12" s="18">
        <v>0</v>
      </c>
      <c r="N12" s="18">
        <v>0</v>
      </c>
      <c r="O12" s="18">
        <v>0</v>
      </c>
      <c r="P12" s="18">
        <v>1</v>
      </c>
      <c r="Q12" s="18">
        <v>4</v>
      </c>
      <c r="R12" s="18">
        <v>4</v>
      </c>
      <c r="S12" s="18">
        <v>0</v>
      </c>
      <c r="T12" s="18">
        <v>1</v>
      </c>
      <c r="U12" s="18">
        <v>14</v>
      </c>
      <c r="V12" s="18">
        <v>0</v>
      </c>
      <c r="W12" s="18">
        <v>0</v>
      </c>
      <c r="X12" s="18">
        <v>0</v>
      </c>
      <c r="Y12" s="18">
        <v>6</v>
      </c>
      <c r="Z12" s="18">
        <v>0</v>
      </c>
      <c r="AA12" s="19"/>
      <c r="AB12" s="19" t="b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>1</v>
      </c>
      <c r="AC12" s="18" t="str">
        <f>IF(COUNT(initialScan[[#This Row],[Unit test coverage]:[No of lines]])=2,initialScan[[#This Row],[Unit test coverage]]*initialScan[[#This Row],[No of lines]],"")</f>
        <v/>
      </c>
      <c r="AD12" s="18">
        <f>IF(COUNT(initialScan[[#This Row],[Duplication %]],initialScan[[#This Row],[No of lines]])=2,initialScan[[#This Row],[No of lines]]*initialScan[[#This Row],[Duplication %]],"")</f>
        <v>27.948</v>
      </c>
      <c r="AE12" s="18">
        <f>IF(COUNT(initialScan[[#This Row],[Comments (%)]],initialScan[[#This Row],[No of lines]])=2,initialScan[[#This Row],[No of lines]]*initialScan[[#This Row],[Comments (%)]],"")</f>
        <v>286.46699999999998</v>
      </c>
    </row>
    <row r="13" spans="1:31" x14ac:dyDescent="0.35">
      <c r="A13" s="18">
        <v>11</v>
      </c>
      <c r="B13" s="115" t="s">
        <v>225</v>
      </c>
      <c r="C13" s="19" t="s">
        <v>214</v>
      </c>
      <c r="D13" s="19" t="s">
        <v>206</v>
      </c>
      <c r="E13" s="18" t="s">
        <v>139</v>
      </c>
      <c r="F13" s="20" t="s">
        <v>196</v>
      </c>
      <c r="G13" s="21">
        <v>2646</v>
      </c>
      <c r="H13" s="19" t="s">
        <v>227</v>
      </c>
      <c r="I13" s="18" t="s">
        <v>129</v>
      </c>
      <c r="J13" s="18" t="s">
        <v>129</v>
      </c>
      <c r="K13" s="20">
        <v>1.2999999999999999E-2</v>
      </c>
      <c r="L13" s="20">
        <v>8.5999999999999993E-2</v>
      </c>
      <c r="M13" s="18">
        <v>0</v>
      </c>
      <c r="N13" s="18">
        <v>0</v>
      </c>
      <c r="O13" s="18">
        <v>0</v>
      </c>
      <c r="P13" s="18">
        <v>1</v>
      </c>
      <c r="Q13" s="18">
        <v>7</v>
      </c>
      <c r="R13" s="18">
        <v>5</v>
      </c>
      <c r="S13" s="18">
        <v>0</v>
      </c>
      <c r="T13" s="18">
        <v>2</v>
      </c>
      <c r="U13" s="18">
        <v>14</v>
      </c>
      <c r="V13" s="18">
        <v>0</v>
      </c>
      <c r="W13" s="18">
        <v>0</v>
      </c>
      <c r="X13" s="18">
        <v>0</v>
      </c>
      <c r="Y13" s="18">
        <v>0</v>
      </c>
      <c r="Z13" s="18">
        <v>0</v>
      </c>
      <c r="AA13" s="19"/>
      <c r="AB13" s="19" t="b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>1</v>
      </c>
      <c r="AC13" s="18" t="str">
        <f>IF(COUNT(initialScan[[#This Row],[Unit test coverage]:[No of lines]])=2,initialScan[[#This Row],[Unit test coverage]]*initialScan[[#This Row],[No of lines]],"")</f>
        <v/>
      </c>
      <c r="AD13" s="18">
        <f>IF(COUNT(initialScan[[#This Row],[Duplication %]],initialScan[[#This Row],[No of lines]])=2,initialScan[[#This Row],[No of lines]]*initialScan[[#This Row],[Duplication %]],"")</f>
        <v>34.397999999999996</v>
      </c>
      <c r="AE13" s="18">
        <f>IF(COUNT(initialScan[[#This Row],[Comments (%)]],initialScan[[#This Row],[No of lines]])=2,initialScan[[#This Row],[No of lines]]*initialScan[[#This Row],[Comments (%)]],"")</f>
        <v>227.55599999999998</v>
      </c>
    </row>
    <row r="14" spans="1:31" x14ac:dyDescent="0.35">
      <c r="A14" s="18">
        <v>12</v>
      </c>
      <c r="B14" s="115" t="s">
        <v>224</v>
      </c>
      <c r="C14" s="19" t="s">
        <v>214</v>
      </c>
      <c r="D14" s="19" t="s">
        <v>206</v>
      </c>
      <c r="E14" s="18" t="s">
        <v>139</v>
      </c>
      <c r="F14" s="20" t="s">
        <v>196</v>
      </c>
      <c r="G14" s="21">
        <v>2893</v>
      </c>
      <c r="H14" s="117" t="s">
        <v>226</v>
      </c>
      <c r="I14" s="18" t="s">
        <v>133</v>
      </c>
      <c r="J14" s="18" t="s">
        <v>129</v>
      </c>
      <c r="K14" s="20">
        <v>0.01</v>
      </c>
      <c r="L14" s="20">
        <v>0.11</v>
      </c>
      <c r="M14" s="18">
        <v>0</v>
      </c>
      <c r="N14" s="18">
        <v>0</v>
      </c>
      <c r="O14" s="18">
        <v>0</v>
      </c>
      <c r="P14" s="18">
        <v>1</v>
      </c>
      <c r="Q14" s="18">
        <v>8</v>
      </c>
      <c r="R14" s="18">
        <v>12</v>
      </c>
      <c r="S14" s="18">
        <v>1</v>
      </c>
      <c r="T14" s="18">
        <v>3</v>
      </c>
      <c r="U14" s="18">
        <v>20</v>
      </c>
      <c r="V14" s="18">
        <v>0</v>
      </c>
      <c r="W14" s="18">
        <v>0</v>
      </c>
      <c r="X14" s="18">
        <v>0</v>
      </c>
      <c r="Y14" s="18">
        <v>5</v>
      </c>
      <c r="Z14" s="18">
        <v>0</v>
      </c>
      <c r="AA14" s="19"/>
      <c r="AB14" s="19" t="b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>1</v>
      </c>
      <c r="AC14" s="18" t="str">
        <f>IF(COUNT(initialScan[[#This Row],[Unit test coverage]:[No of lines]])=2,initialScan[[#This Row],[Unit test coverage]]*initialScan[[#This Row],[No of lines]],"")</f>
        <v/>
      </c>
      <c r="AD14" s="18">
        <f>IF(COUNT(initialScan[[#This Row],[Duplication %]],initialScan[[#This Row],[No of lines]])=2,initialScan[[#This Row],[No of lines]]*initialScan[[#This Row],[Duplication %]],"")</f>
        <v>28.93</v>
      </c>
      <c r="AE14" s="18">
        <f>IF(COUNT(initialScan[[#This Row],[Comments (%)]],initialScan[[#This Row],[No of lines]])=2,initialScan[[#This Row],[No of lines]]*initialScan[[#This Row],[Comments (%)]],"")</f>
        <v>318.23</v>
      </c>
    </row>
    <row r="15" spans="1:31" x14ac:dyDescent="0.35">
      <c r="A15" s="18">
        <v>13</v>
      </c>
      <c r="B15" s="115" t="s">
        <v>223</v>
      </c>
      <c r="C15" s="19" t="s">
        <v>214</v>
      </c>
      <c r="D15" s="19" t="s">
        <v>206</v>
      </c>
      <c r="E15" s="18" t="s">
        <v>139</v>
      </c>
      <c r="F15" s="20" t="s">
        <v>196</v>
      </c>
      <c r="G15" s="21">
        <v>1909</v>
      </c>
      <c r="H15" s="117" t="s">
        <v>223</v>
      </c>
      <c r="I15" s="18" t="s">
        <v>133</v>
      </c>
      <c r="J15" s="18" t="s">
        <v>129</v>
      </c>
      <c r="K15" s="20">
        <v>1.2999999999999999E-2</v>
      </c>
      <c r="L15" s="20">
        <v>0.14699999999999999</v>
      </c>
      <c r="M15" s="18">
        <v>0</v>
      </c>
      <c r="N15" s="18">
        <v>0</v>
      </c>
      <c r="O15" s="18">
        <v>0</v>
      </c>
      <c r="P15" s="18">
        <v>1</v>
      </c>
      <c r="Q15" s="18">
        <v>8</v>
      </c>
      <c r="R15" s="18">
        <v>12</v>
      </c>
      <c r="S15" s="18">
        <v>1</v>
      </c>
      <c r="T15" s="18">
        <v>4</v>
      </c>
      <c r="U15" s="18">
        <v>19</v>
      </c>
      <c r="V15" s="18">
        <v>0</v>
      </c>
      <c r="W15" s="18">
        <v>0</v>
      </c>
      <c r="X15" s="18">
        <v>0</v>
      </c>
      <c r="Y15" s="18">
        <v>2</v>
      </c>
      <c r="Z15" s="18">
        <v>0</v>
      </c>
      <c r="AA15" s="19"/>
      <c r="AB15" s="19" t="b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>1</v>
      </c>
      <c r="AC15" s="18" t="str">
        <f>IF(COUNT(initialScan[[#This Row],[Unit test coverage]:[No of lines]])=2,initialScan[[#This Row],[Unit test coverage]]*initialScan[[#This Row],[No of lines]],"")</f>
        <v/>
      </c>
      <c r="AD15" s="18">
        <f>IF(COUNT(initialScan[[#This Row],[Duplication %]],initialScan[[#This Row],[No of lines]])=2,initialScan[[#This Row],[No of lines]]*initialScan[[#This Row],[Duplication %]],"")</f>
        <v>24.817</v>
      </c>
      <c r="AE15" s="18">
        <f>IF(COUNT(initialScan[[#This Row],[Comments (%)]],initialScan[[#This Row],[No of lines]])=2,initialScan[[#This Row],[No of lines]]*initialScan[[#This Row],[Comments (%)]],"")</f>
        <v>280.62299999999999</v>
      </c>
    </row>
    <row r="16" spans="1:31" x14ac:dyDescent="0.35">
      <c r="A16" s="18">
        <v>14</v>
      </c>
      <c r="B16" s="19"/>
      <c r="C16" s="19"/>
      <c r="D16" s="19"/>
      <c r="E16" s="18"/>
      <c r="F16" s="20"/>
      <c r="G16" s="21"/>
      <c r="H16" s="19"/>
      <c r="I16" s="18"/>
      <c r="J16" s="18"/>
      <c r="K16" s="20"/>
      <c r="L16" s="20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9"/>
      <c r="AB16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16" s="18" t="str">
        <f>IF(COUNT(initialScan[[#This Row],[Unit test coverage]:[No of lines]])=2,initialScan[[#This Row],[Unit test coverage]]*initialScan[[#This Row],[No of lines]],"")</f>
        <v/>
      </c>
      <c r="AD16" s="18" t="str">
        <f>IF(COUNT(initialScan[[#This Row],[Duplication %]],initialScan[[#This Row],[No of lines]])=2,initialScan[[#This Row],[No of lines]]*initialScan[[#This Row],[Duplication %]],"")</f>
        <v/>
      </c>
      <c r="AE16" s="18" t="str">
        <f>IF(COUNT(initialScan[[#This Row],[Comments (%)]],initialScan[[#This Row],[No of lines]])=2,initialScan[[#This Row],[No of lines]]*initialScan[[#This Row],[Comments (%)]],"")</f>
        <v/>
      </c>
    </row>
    <row r="17" spans="1:31" x14ac:dyDescent="0.35">
      <c r="A17" s="18">
        <v>15</v>
      </c>
      <c r="B17" s="19"/>
      <c r="C17" s="19"/>
      <c r="D17" s="19"/>
      <c r="E17" s="18"/>
      <c r="F17" s="20"/>
      <c r="G17" s="21"/>
      <c r="H17" s="19"/>
      <c r="I17" s="18"/>
      <c r="J17" s="18"/>
      <c r="K17" s="20"/>
      <c r="L17" s="20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9"/>
      <c r="AB17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17" s="18" t="str">
        <f>IF(COUNT(initialScan[[#This Row],[Unit test coverage]:[No of lines]])=2,initialScan[[#This Row],[Unit test coverage]]*initialScan[[#This Row],[No of lines]],"")</f>
        <v/>
      </c>
      <c r="AD17" s="18" t="str">
        <f>IF(COUNT(initialScan[[#This Row],[Duplication %]],initialScan[[#This Row],[No of lines]])=2,initialScan[[#This Row],[No of lines]]*initialScan[[#This Row],[Duplication %]],"")</f>
        <v/>
      </c>
      <c r="AE17" s="18" t="str">
        <f>IF(COUNT(initialScan[[#This Row],[Comments (%)]],initialScan[[#This Row],[No of lines]])=2,initialScan[[#This Row],[No of lines]]*initialScan[[#This Row],[Comments (%)]],"")</f>
        <v/>
      </c>
    </row>
    <row r="18" spans="1:31" x14ac:dyDescent="0.35">
      <c r="A18" s="18">
        <v>16</v>
      </c>
      <c r="B18" s="19"/>
      <c r="C18" s="19"/>
      <c r="D18" s="19"/>
      <c r="E18" s="18"/>
      <c r="F18" s="20"/>
      <c r="G18" s="21"/>
      <c r="H18" s="19"/>
      <c r="I18" s="18"/>
      <c r="J18" s="18"/>
      <c r="K18" s="20"/>
      <c r="L18" s="20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9"/>
      <c r="AB18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18" s="18" t="str">
        <f>IF(COUNT(initialScan[[#This Row],[Unit test coverage]:[No of lines]])=2,initialScan[[#This Row],[Unit test coverage]]*initialScan[[#This Row],[No of lines]],"")</f>
        <v/>
      </c>
      <c r="AD18" s="18" t="str">
        <f>IF(COUNT(initialScan[[#This Row],[Duplication %]],initialScan[[#This Row],[No of lines]])=2,initialScan[[#This Row],[No of lines]]*initialScan[[#This Row],[Duplication %]],"")</f>
        <v/>
      </c>
      <c r="AE18" s="18" t="str">
        <f>IF(COUNT(initialScan[[#This Row],[Comments (%)]],initialScan[[#This Row],[No of lines]])=2,initialScan[[#This Row],[No of lines]]*initialScan[[#This Row],[Comments (%)]],"")</f>
        <v/>
      </c>
    </row>
    <row r="19" spans="1:31" x14ac:dyDescent="0.35">
      <c r="A19" s="18">
        <v>17</v>
      </c>
      <c r="B19" s="19"/>
      <c r="C19" s="19"/>
      <c r="D19" s="19"/>
      <c r="E19" s="18"/>
      <c r="F19" s="20"/>
      <c r="G19" s="21"/>
      <c r="H19" s="19"/>
      <c r="I19" s="18"/>
      <c r="J19" s="18"/>
      <c r="K19" s="20"/>
      <c r="L19" s="20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9"/>
      <c r="AB19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19" s="18" t="str">
        <f>IF(COUNT(initialScan[[#This Row],[Unit test coverage]:[No of lines]])=2,initialScan[[#This Row],[Unit test coverage]]*initialScan[[#This Row],[No of lines]],"")</f>
        <v/>
      </c>
      <c r="AD19" s="18" t="str">
        <f>IF(COUNT(initialScan[[#This Row],[Duplication %]],initialScan[[#This Row],[No of lines]])=2,initialScan[[#This Row],[No of lines]]*initialScan[[#This Row],[Duplication %]],"")</f>
        <v/>
      </c>
      <c r="AE19" s="18" t="str">
        <f>IF(COUNT(initialScan[[#This Row],[Comments (%)]],initialScan[[#This Row],[No of lines]])=2,initialScan[[#This Row],[No of lines]]*initialScan[[#This Row],[Comments (%)]],"")</f>
        <v/>
      </c>
    </row>
    <row r="20" spans="1:31" x14ac:dyDescent="0.35">
      <c r="A20" s="18">
        <v>18</v>
      </c>
      <c r="B20" s="19"/>
      <c r="C20" s="19"/>
      <c r="D20" s="19"/>
      <c r="E20" s="18"/>
      <c r="F20" s="20"/>
      <c r="G20" s="21"/>
      <c r="H20" s="19"/>
      <c r="I20" s="18"/>
      <c r="J20" s="18"/>
      <c r="K20" s="20"/>
      <c r="L20" s="20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9"/>
      <c r="AB20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20" s="18" t="str">
        <f>IF(COUNT(initialScan[[#This Row],[Unit test coverage]:[No of lines]])=2,initialScan[[#This Row],[Unit test coverage]]*initialScan[[#This Row],[No of lines]],"")</f>
        <v/>
      </c>
      <c r="AD20" s="18" t="str">
        <f>IF(COUNT(initialScan[[#This Row],[Duplication %]],initialScan[[#This Row],[No of lines]])=2,initialScan[[#This Row],[No of lines]]*initialScan[[#This Row],[Duplication %]],"")</f>
        <v/>
      </c>
      <c r="AE20" s="18" t="str">
        <f>IF(COUNT(initialScan[[#This Row],[Comments (%)]],initialScan[[#This Row],[No of lines]])=2,initialScan[[#This Row],[No of lines]]*initialScan[[#This Row],[Comments (%)]],"")</f>
        <v/>
      </c>
    </row>
    <row r="21" spans="1:31" x14ac:dyDescent="0.35">
      <c r="A21" s="18">
        <v>19</v>
      </c>
      <c r="B21" s="19"/>
      <c r="C21" s="19"/>
      <c r="D21" s="19"/>
      <c r="E21" s="18"/>
      <c r="F21" s="20"/>
      <c r="G21" s="21"/>
      <c r="H21" s="19"/>
      <c r="I21" s="18"/>
      <c r="J21" s="18"/>
      <c r="K21" s="20"/>
      <c r="L21" s="20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9"/>
      <c r="AB21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21" s="18" t="str">
        <f>IF(COUNT(initialScan[[#This Row],[Unit test coverage]:[No of lines]])=2,initialScan[[#This Row],[Unit test coverage]]*initialScan[[#This Row],[No of lines]],"")</f>
        <v/>
      </c>
      <c r="AD21" s="18" t="str">
        <f>IF(COUNT(initialScan[[#This Row],[Duplication %]],initialScan[[#This Row],[No of lines]])=2,initialScan[[#This Row],[No of lines]]*initialScan[[#This Row],[Duplication %]],"")</f>
        <v/>
      </c>
      <c r="AE21" s="18" t="str">
        <f>IF(COUNT(initialScan[[#This Row],[Comments (%)]],initialScan[[#This Row],[No of lines]])=2,initialScan[[#This Row],[No of lines]]*initialScan[[#This Row],[Comments (%)]],"")</f>
        <v/>
      </c>
    </row>
    <row r="22" spans="1:31" x14ac:dyDescent="0.35">
      <c r="A22" s="18">
        <v>20</v>
      </c>
      <c r="B22" s="19"/>
      <c r="C22" s="19"/>
      <c r="D22" s="19"/>
      <c r="E22" s="18"/>
      <c r="F22" s="20"/>
      <c r="G22" s="21"/>
      <c r="H22" s="19"/>
      <c r="I22" s="18"/>
      <c r="J22" s="18"/>
      <c r="K22" s="20"/>
      <c r="L22" s="20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9"/>
      <c r="AB22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22" s="18" t="str">
        <f>IF(COUNT(initialScan[[#This Row],[Unit test coverage]:[No of lines]])=2,initialScan[[#This Row],[Unit test coverage]]*initialScan[[#This Row],[No of lines]],"")</f>
        <v/>
      </c>
      <c r="AD22" s="18" t="str">
        <f>IF(COUNT(initialScan[[#This Row],[Duplication %]],initialScan[[#This Row],[No of lines]])=2,initialScan[[#This Row],[No of lines]]*initialScan[[#This Row],[Duplication %]],"")</f>
        <v/>
      </c>
      <c r="AE22" s="18" t="str">
        <f>IF(COUNT(initialScan[[#This Row],[Comments (%)]],initialScan[[#This Row],[No of lines]])=2,initialScan[[#This Row],[No of lines]]*initialScan[[#This Row],[Comments (%)]],"")</f>
        <v/>
      </c>
    </row>
    <row r="23" spans="1:31" x14ac:dyDescent="0.35">
      <c r="A23" s="18">
        <v>21</v>
      </c>
      <c r="B23" s="19"/>
      <c r="C23" s="19"/>
      <c r="D23" s="19"/>
      <c r="E23" s="18"/>
      <c r="F23" s="20"/>
      <c r="G23" s="21"/>
      <c r="H23" s="19"/>
      <c r="I23" s="18"/>
      <c r="J23" s="18"/>
      <c r="K23" s="20"/>
      <c r="L23" s="20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9"/>
      <c r="AB23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23" s="18" t="str">
        <f>IF(COUNT(initialScan[[#This Row],[Unit test coverage]:[No of lines]])=2,initialScan[[#This Row],[Unit test coverage]]*initialScan[[#This Row],[No of lines]],"")</f>
        <v/>
      </c>
      <c r="AD23" s="18" t="str">
        <f>IF(COUNT(initialScan[[#This Row],[Duplication %]],initialScan[[#This Row],[No of lines]])=2,initialScan[[#This Row],[No of lines]]*initialScan[[#This Row],[Duplication %]],"")</f>
        <v/>
      </c>
      <c r="AE23" s="18" t="str">
        <f>IF(COUNT(initialScan[[#This Row],[Comments (%)]],initialScan[[#This Row],[No of lines]])=2,initialScan[[#This Row],[No of lines]]*initialScan[[#This Row],[Comments (%)]],"")</f>
        <v/>
      </c>
    </row>
    <row r="24" spans="1:31" x14ac:dyDescent="0.35">
      <c r="A24" s="18">
        <v>22</v>
      </c>
      <c r="B24" s="19"/>
      <c r="C24" s="19"/>
      <c r="D24" s="19"/>
      <c r="E24" s="18"/>
      <c r="F24" s="20"/>
      <c r="G24" s="21"/>
      <c r="H24" s="19"/>
      <c r="I24" s="18"/>
      <c r="J24" s="18"/>
      <c r="K24" s="20"/>
      <c r="L24" s="20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9"/>
      <c r="AB24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24" s="18" t="str">
        <f>IF(COUNT(initialScan[[#This Row],[Unit test coverage]:[No of lines]])=2,initialScan[[#This Row],[Unit test coverage]]*initialScan[[#This Row],[No of lines]],"")</f>
        <v/>
      </c>
      <c r="AD24" s="18" t="str">
        <f>IF(COUNT(initialScan[[#This Row],[Duplication %]],initialScan[[#This Row],[No of lines]])=2,initialScan[[#This Row],[No of lines]]*initialScan[[#This Row],[Duplication %]],"")</f>
        <v/>
      </c>
      <c r="AE24" s="18" t="str">
        <f>IF(COUNT(initialScan[[#This Row],[Comments (%)]],initialScan[[#This Row],[No of lines]])=2,initialScan[[#This Row],[No of lines]]*initialScan[[#This Row],[Comments (%)]],"")</f>
        <v/>
      </c>
    </row>
    <row r="25" spans="1:31" x14ac:dyDescent="0.35">
      <c r="A25" s="18">
        <v>23</v>
      </c>
      <c r="B25" s="19"/>
      <c r="C25" s="19"/>
      <c r="D25" s="19"/>
      <c r="E25" s="18"/>
      <c r="F25" s="20"/>
      <c r="G25" s="21"/>
      <c r="H25" s="19"/>
      <c r="I25" s="18"/>
      <c r="J25" s="18"/>
      <c r="K25" s="20"/>
      <c r="L25" s="20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9"/>
      <c r="AB25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25" s="18" t="str">
        <f>IF(COUNT(initialScan[[#This Row],[Unit test coverage]:[No of lines]])=2,initialScan[[#This Row],[Unit test coverage]]*initialScan[[#This Row],[No of lines]],"")</f>
        <v/>
      </c>
      <c r="AD25" s="18" t="str">
        <f>IF(COUNT(initialScan[[#This Row],[Duplication %]],initialScan[[#This Row],[No of lines]])=2,initialScan[[#This Row],[No of lines]]*initialScan[[#This Row],[Duplication %]],"")</f>
        <v/>
      </c>
      <c r="AE25" s="18" t="str">
        <f>IF(COUNT(initialScan[[#This Row],[Comments (%)]],initialScan[[#This Row],[No of lines]])=2,initialScan[[#This Row],[No of lines]]*initialScan[[#This Row],[Comments (%)]],"")</f>
        <v/>
      </c>
    </row>
    <row r="26" spans="1:31" x14ac:dyDescent="0.35">
      <c r="A26" s="18">
        <v>24</v>
      </c>
      <c r="B26" s="19"/>
      <c r="C26" s="19"/>
      <c r="D26" s="19"/>
      <c r="E26" s="18"/>
      <c r="F26" s="20"/>
      <c r="G26" s="21"/>
      <c r="H26" s="19"/>
      <c r="I26" s="18"/>
      <c r="J26" s="18"/>
      <c r="K26" s="20"/>
      <c r="L26" s="20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9"/>
      <c r="AB26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26" s="18" t="str">
        <f>IF(COUNT(initialScan[[#This Row],[Unit test coverage]:[No of lines]])=2,initialScan[[#This Row],[Unit test coverage]]*initialScan[[#This Row],[No of lines]],"")</f>
        <v/>
      </c>
      <c r="AD26" s="18" t="str">
        <f>IF(COUNT(initialScan[[#This Row],[Duplication %]],initialScan[[#This Row],[No of lines]])=2,initialScan[[#This Row],[No of lines]]*initialScan[[#This Row],[Duplication %]],"")</f>
        <v/>
      </c>
      <c r="AE26" s="18" t="str">
        <f>IF(COUNT(initialScan[[#This Row],[Comments (%)]],initialScan[[#This Row],[No of lines]])=2,initialScan[[#This Row],[No of lines]]*initialScan[[#This Row],[Comments (%)]],"")</f>
        <v/>
      </c>
    </row>
    <row r="27" spans="1:31" x14ac:dyDescent="0.35">
      <c r="A27" s="18">
        <v>25</v>
      </c>
      <c r="B27" s="19"/>
      <c r="C27" s="19"/>
      <c r="D27" s="19"/>
      <c r="E27" s="18"/>
      <c r="F27" s="20"/>
      <c r="G27" s="21"/>
      <c r="H27" s="19"/>
      <c r="I27" s="18"/>
      <c r="J27" s="18"/>
      <c r="K27" s="20"/>
      <c r="L27" s="20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9"/>
      <c r="AB27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27" s="18" t="str">
        <f>IF(COUNT(initialScan[[#This Row],[Unit test coverage]:[No of lines]])=2,initialScan[[#This Row],[Unit test coverage]]*initialScan[[#This Row],[No of lines]],"")</f>
        <v/>
      </c>
      <c r="AD27" s="18" t="str">
        <f>IF(COUNT(initialScan[[#This Row],[Duplication %]],initialScan[[#This Row],[No of lines]])=2,initialScan[[#This Row],[No of lines]]*initialScan[[#This Row],[Duplication %]],"")</f>
        <v/>
      </c>
      <c r="AE27" s="18" t="str">
        <f>IF(COUNT(initialScan[[#This Row],[Comments (%)]],initialScan[[#This Row],[No of lines]])=2,initialScan[[#This Row],[No of lines]]*initialScan[[#This Row],[Comments (%)]],"")</f>
        <v/>
      </c>
    </row>
    <row r="28" spans="1:31" x14ac:dyDescent="0.35">
      <c r="A28" s="18">
        <v>26</v>
      </c>
      <c r="B28" s="19"/>
      <c r="C28" s="19"/>
      <c r="D28" s="19"/>
      <c r="E28" s="18"/>
      <c r="F28" s="20"/>
      <c r="G28" s="21"/>
      <c r="H28" s="19"/>
      <c r="I28" s="18"/>
      <c r="J28" s="18"/>
      <c r="K28" s="20"/>
      <c r="L28" s="20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9"/>
      <c r="AB28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28" s="18" t="str">
        <f>IF(COUNT(initialScan[[#This Row],[Unit test coverage]:[No of lines]])=2,initialScan[[#This Row],[Unit test coverage]]*initialScan[[#This Row],[No of lines]],"")</f>
        <v/>
      </c>
      <c r="AD28" s="18" t="str">
        <f>IF(COUNT(initialScan[[#This Row],[Duplication %]],initialScan[[#This Row],[No of lines]])=2,initialScan[[#This Row],[No of lines]]*initialScan[[#This Row],[Duplication %]],"")</f>
        <v/>
      </c>
      <c r="AE28" s="18" t="str">
        <f>IF(COUNT(initialScan[[#This Row],[Comments (%)]],initialScan[[#This Row],[No of lines]])=2,initialScan[[#This Row],[No of lines]]*initialScan[[#This Row],[Comments (%)]],"")</f>
        <v/>
      </c>
    </row>
    <row r="29" spans="1:31" x14ac:dyDescent="0.35">
      <c r="A29" s="18">
        <v>27</v>
      </c>
      <c r="B29" s="19"/>
      <c r="C29" s="19"/>
      <c r="D29" s="19"/>
      <c r="E29" s="18"/>
      <c r="F29" s="20"/>
      <c r="G29" s="21"/>
      <c r="H29" s="19"/>
      <c r="I29" s="18"/>
      <c r="J29" s="18"/>
      <c r="K29" s="20"/>
      <c r="L29" s="20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9"/>
      <c r="AB29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29" s="18" t="str">
        <f>IF(COUNT(initialScan[[#This Row],[Unit test coverage]:[No of lines]])=2,initialScan[[#This Row],[Unit test coverage]]*initialScan[[#This Row],[No of lines]],"")</f>
        <v/>
      </c>
      <c r="AD29" s="18" t="str">
        <f>IF(COUNT(initialScan[[#This Row],[Duplication %]],initialScan[[#This Row],[No of lines]])=2,initialScan[[#This Row],[No of lines]]*initialScan[[#This Row],[Duplication %]],"")</f>
        <v/>
      </c>
      <c r="AE29" s="18" t="str">
        <f>IF(COUNT(initialScan[[#This Row],[Comments (%)]],initialScan[[#This Row],[No of lines]])=2,initialScan[[#This Row],[No of lines]]*initialScan[[#This Row],[Comments (%)]],"")</f>
        <v/>
      </c>
    </row>
    <row r="30" spans="1:31" x14ac:dyDescent="0.35">
      <c r="A30" s="18">
        <v>28</v>
      </c>
      <c r="B30" s="19"/>
      <c r="C30" s="19"/>
      <c r="D30" s="19"/>
      <c r="E30" s="18"/>
      <c r="F30" s="20"/>
      <c r="G30" s="21"/>
      <c r="H30" s="19"/>
      <c r="I30" s="18"/>
      <c r="J30" s="18"/>
      <c r="K30" s="20"/>
      <c r="L30" s="20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9"/>
      <c r="AB30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30" s="18" t="str">
        <f>IF(COUNT(initialScan[[#This Row],[Unit test coverage]:[No of lines]])=2,initialScan[[#This Row],[Unit test coverage]]*initialScan[[#This Row],[No of lines]],"")</f>
        <v/>
      </c>
      <c r="AD30" s="18" t="str">
        <f>IF(COUNT(initialScan[[#This Row],[Duplication %]],initialScan[[#This Row],[No of lines]])=2,initialScan[[#This Row],[No of lines]]*initialScan[[#This Row],[Duplication %]],"")</f>
        <v/>
      </c>
      <c r="AE30" s="18" t="str">
        <f>IF(COUNT(initialScan[[#This Row],[Comments (%)]],initialScan[[#This Row],[No of lines]])=2,initialScan[[#This Row],[No of lines]]*initialScan[[#This Row],[Comments (%)]],"")</f>
        <v/>
      </c>
    </row>
    <row r="31" spans="1:31" x14ac:dyDescent="0.35">
      <c r="A31" s="18">
        <v>29</v>
      </c>
      <c r="B31" s="19"/>
      <c r="C31" s="19"/>
      <c r="D31" s="19"/>
      <c r="E31" s="18"/>
      <c r="F31" s="20"/>
      <c r="G31" s="21"/>
      <c r="H31" s="19"/>
      <c r="I31" s="18"/>
      <c r="J31" s="18"/>
      <c r="K31" s="20"/>
      <c r="L31" s="20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9"/>
      <c r="AB31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31" s="18" t="str">
        <f>IF(COUNT(initialScan[[#This Row],[Unit test coverage]:[No of lines]])=2,initialScan[[#This Row],[Unit test coverage]]*initialScan[[#This Row],[No of lines]],"")</f>
        <v/>
      </c>
      <c r="AD31" s="18" t="str">
        <f>IF(COUNT(initialScan[[#This Row],[Duplication %]],initialScan[[#This Row],[No of lines]])=2,initialScan[[#This Row],[No of lines]]*initialScan[[#This Row],[Duplication %]],"")</f>
        <v/>
      </c>
      <c r="AE31" s="18" t="str">
        <f>IF(COUNT(initialScan[[#This Row],[Comments (%)]],initialScan[[#This Row],[No of lines]])=2,initialScan[[#This Row],[No of lines]]*initialScan[[#This Row],[Comments (%)]],"")</f>
        <v/>
      </c>
    </row>
    <row r="32" spans="1:31" x14ac:dyDescent="0.35">
      <c r="A32" s="18">
        <v>30</v>
      </c>
      <c r="B32" s="19"/>
      <c r="C32" s="19"/>
      <c r="D32" s="19"/>
      <c r="E32" s="18"/>
      <c r="F32" s="20"/>
      <c r="G32" s="21"/>
      <c r="H32" s="19"/>
      <c r="I32" s="18"/>
      <c r="J32" s="18"/>
      <c r="K32" s="20"/>
      <c r="L32" s="20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9"/>
      <c r="AB32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32" s="18" t="str">
        <f>IF(COUNT(initialScan[[#This Row],[Unit test coverage]:[No of lines]])=2,initialScan[[#This Row],[Unit test coverage]]*initialScan[[#This Row],[No of lines]],"")</f>
        <v/>
      </c>
      <c r="AD32" s="18" t="str">
        <f>IF(COUNT(initialScan[[#This Row],[Duplication %]],initialScan[[#This Row],[No of lines]])=2,initialScan[[#This Row],[No of lines]]*initialScan[[#This Row],[Duplication %]],"")</f>
        <v/>
      </c>
      <c r="AE32" s="18" t="str">
        <f>IF(COUNT(initialScan[[#This Row],[Comments (%)]],initialScan[[#This Row],[No of lines]])=2,initialScan[[#This Row],[No of lines]]*initialScan[[#This Row],[Comments (%)]],"")</f>
        <v/>
      </c>
    </row>
    <row r="33" spans="1:31" x14ac:dyDescent="0.35">
      <c r="A33" s="18">
        <v>31</v>
      </c>
      <c r="B33" s="19"/>
      <c r="C33" s="19"/>
      <c r="D33" s="19"/>
      <c r="E33" s="18"/>
      <c r="F33" s="20"/>
      <c r="G33" s="21"/>
      <c r="H33" s="19"/>
      <c r="I33" s="18"/>
      <c r="J33" s="18"/>
      <c r="K33" s="20"/>
      <c r="L33" s="20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9"/>
      <c r="AB33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33" s="18" t="str">
        <f>IF(COUNT(initialScan[[#This Row],[Unit test coverage]:[No of lines]])=2,initialScan[[#This Row],[Unit test coverage]]*initialScan[[#This Row],[No of lines]],"")</f>
        <v/>
      </c>
      <c r="AD33" s="18" t="str">
        <f>IF(COUNT(initialScan[[#This Row],[Duplication %]],initialScan[[#This Row],[No of lines]])=2,initialScan[[#This Row],[No of lines]]*initialScan[[#This Row],[Duplication %]],"")</f>
        <v/>
      </c>
      <c r="AE33" s="18" t="str">
        <f>IF(COUNT(initialScan[[#This Row],[Comments (%)]],initialScan[[#This Row],[No of lines]])=2,initialScan[[#This Row],[No of lines]]*initialScan[[#This Row],[Comments (%)]],"")</f>
        <v/>
      </c>
    </row>
    <row r="34" spans="1:31" x14ac:dyDescent="0.35">
      <c r="A34" s="18">
        <v>32</v>
      </c>
      <c r="B34" s="19"/>
      <c r="C34" s="19"/>
      <c r="D34" s="19"/>
      <c r="E34" s="18"/>
      <c r="F34" s="20"/>
      <c r="G34" s="21"/>
      <c r="H34" s="19"/>
      <c r="I34" s="18"/>
      <c r="J34" s="18"/>
      <c r="K34" s="20"/>
      <c r="L34" s="20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9"/>
      <c r="AB34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34" s="18" t="str">
        <f>IF(COUNT(initialScan[[#This Row],[Unit test coverage]:[No of lines]])=2,initialScan[[#This Row],[Unit test coverage]]*initialScan[[#This Row],[No of lines]],"")</f>
        <v/>
      </c>
      <c r="AD34" s="18" t="str">
        <f>IF(COUNT(initialScan[[#This Row],[Duplication %]],initialScan[[#This Row],[No of lines]])=2,initialScan[[#This Row],[No of lines]]*initialScan[[#This Row],[Duplication %]],"")</f>
        <v/>
      </c>
      <c r="AE34" s="18" t="str">
        <f>IF(COUNT(initialScan[[#This Row],[Comments (%)]],initialScan[[#This Row],[No of lines]])=2,initialScan[[#This Row],[No of lines]]*initialScan[[#This Row],[Comments (%)]],"")</f>
        <v/>
      </c>
    </row>
    <row r="35" spans="1:31" x14ac:dyDescent="0.35">
      <c r="A35" s="18">
        <v>33</v>
      </c>
      <c r="B35" s="19"/>
      <c r="C35" s="19"/>
      <c r="D35" s="19"/>
      <c r="E35" s="18"/>
      <c r="F35" s="20"/>
      <c r="G35" s="21"/>
      <c r="H35" s="19"/>
      <c r="I35" s="18"/>
      <c r="J35" s="18"/>
      <c r="K35" s="20"/>
      <c r="L35" s="20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9"/>
      <c r="AB35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35" s="18" t="str">
        <f>IF(COUNT(initialScan[[#This Row],[Unit test coverage]:[No of lines]])=2,initialScan[[#This Row],[Unit test coverage]]*initialScan[[#This Row],[No of lines]],"")</f>
        <v/>
      </c>
      <c r="AD35" s="18" t="str">
        <f>IF(COUNT(initialScan[[#This Row],[Duplication %]],initialScan[[#This Row],[No of lines]])=2,initialScan[[#This Row],[No of lines]]*initialScan[[#This Row],[Duplication %]],"")</f>
        <v/>
      </c>
      <c r="AE35" s="18" t="str">
        <f>IF(COUNT(initialScan[[#This Row],[Comments (%)]],initialScan[[#This Row],[No of lines]])=2,initialScan[[#This Row],[No of lines]]*initialScan[[#This Row],[Comments (%)]],"")</f>
        <v/>
      </c>
    </row>
    <row r="36" spans="1:31" x14ac:dyDescent="0.35">
      <c r="A36" s="18">
        <v>34</v>
      </c>
      <c r="B36" s="19"/>
      <c r="C36" s="19"/>
      <c r="D36" s="19"/>
      <c r="E36" s="18"/>
      <c r="F36" s="20"/>
      <c r="G36" s="21"/>
      <c r="H36" s="19"/>
      <c r="I36" s="18"/>
      <c r="J36" s="18"/>
      <c r="K36" s="20"/>
      <c r="L36" s="20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9"/>
      <c r="AB36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36" s="18" t="str">
        <f>IF(COUNT(initialScan[[#This Row],[Unit test coverage]:[No of lines]])=2,initialScan[[#This Row],[Unit test coverage]]*initialScan[[#This Row],[No of lines]],"")</f>
        <v/>
      </c>
      <c r="AD36" s="18" t="str">
        <f>IF(COUNT(initialScan[[#This Row],[Duplication %]],initialScan[[#This Row],[No of lines]])=2,initialScan[[#This Row],[No of lines]]*initialScan[[#This Row],[Duplication %]],"")</f>
        <v/>
      </c>
      <c r="AE36" s="18" t="str">
        <f>IF(COUNT(initialScan[[#This Row],[Comments (%)]],initialScan[[#This Row],[No of lines]])=2,initialScan[[#This Row],[No of lines]]*initialScan[[#This Row],[Comments (%)]],"")</f>
        <v/>
      </c>
    </row>
    <row r="37" spans="1:31" x14ac:dyDescent="0.35">
      <c r="A37" s="18">
        <v>35</v>
      </c>
      <c r="B37" s="19"/>
      <c r="C37" s="19"/>
      <c r="D37" s="19"/>
      <c r="E37" s="18"/>
      <c r="F37" s="20"/>
      <c r="G37" s="21"/>
      <c r="H37" s="19"/>
      <c r="I37" s="18"/>
      <c r="J37" s="18"/>
      <c r="K37" s="20"/>
      <c r="L37" s="20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9"/>
      <c r="AB37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37" s="18" t="str">
        <f>IF(COUNT(initialScan[[#This Row],[Unit test coverage]:[No of lines]])=2,initialScan[[#This Row],[Unit test coverage]]*initialScan[[#This Row],[No of lines]],"")</f>
        <v/>
      </c>
      <c r="AD37" s="18" t="str">
        <f>IF(COUNT(initialScan[[#This Row],[Duplication %]],initialScan[[#This Row],[No of lines]])=2,initialScan[[#This Row],[No of lines]]*initialScan[[#This Row],[Duplication %]],"")</f>
        <v/>
      </c>
      <c r="AE37" s="18" t="str">
        <f>IF(COUNT(initialScan[[#This Row],[Comments (%)]],initialScan[[#This Row],[No of lines]])=2,initialScan[[#This Row],[No of lines]]*initialScan[[#This Row],[Comments (%)]],"")</f>
        <v/>
      </c>
    </row>
    <row r="38" spans="1:31" x14ac:dyDescent="0.35">
      <c r="A38" s="18">
        <v>36</v>
      </c>
      <c r="B38" s="19"/>
      <c r="C38" s="19"/>
      <c r="D38" s="19"/>
      <c r="E38" s="18"/>
      <c r="F38" s="20"/>
      <c r="G38" s="21"/>
      <c r="H38" s="19"/>
      <c r="I38" s="18"/>
      <c r="J38" s="18"/>
      <c r="K38" s="20"/>
      <c r="L38" s="20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9"/>
      <c r="AB38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38" s="18" t="str">
        <f>IF(COUNT(initialScan[[#This Row],[Unit test coverage]:[No of lines]])=2,initialScan[[#This Row],[Unit test coverage]]*initialScan[[#This Row],[No of lines]],"")</f>
        <v/>
      </c>
      <c r="AD38" s="18" t="str">
        <f>IF(COUNT(initialScan[[#This Row],[Duplication %]],initialScan[[#This Row],[No of lines]])=2,initialScan[[#This Row],[No of lines]]*initialScan[[#This Row],[Duplication %]],"")</f>
        <v/>
      </c>
      <c r="AE38" s="18" t="str">
        <f>IF(COUNT(initialScan[[#This Row],[Comments (%)]],initialScan[[#This Row],[No of lines]])=2,initialScan[[#This Row],[No of lines]]*initialScan[[#This Row],[Comments (%)]],"")</f>
        <v/>
      </c>
    </row>
    <row r="39" spans="1:31" x14ac:dyDescent="0.35">
      <c r="A39" s="18">
        <v>37</v>
      </c>
      <c r="B39" s="19"/>
      <c r="C39" s="19"/>
      <c r="D39" s="19"/>
      <c r="E39" s="18"/>
      <c r="F39" s="20"/>
      <c r="G39" s="21"/>
      <c r="H39" s="19"/>
      <c r="I39" s="18"/>
      <c r="J39" s="18"/>
      <c r="K39" s="20"/>
      <c r="L39" s="20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9"/>
      <c r="AB39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39" s="18" t="str">
        <f>IF(COUNT(initialScan[[#This Row],[Unit test coverage]:[No of lines]])=2,initialScan[[#This Row],[Unit test coverage]]*initialScan[[#This Row],[No of lines]],"")</f>
        <v/>
      </c>
      <c r="AD39" s="18" t="str">
        <f>IF(COUNT(initialScan[[#This Row],[Duplication %]],initialScan[[#This Row],[No of lines]])=2,initialScan[[#This Row],[No of lines]]*initialScan[[#This Row],[Duplication %]],"")</f>
        <v/>
      </c>
      <c r="AE39" s="18" t="str">
        <f>IF(COUNT(initialScan[[#This Row],[Comments (%)]],initialScan[[#This Row],[No of lines]])=2,initialScan[[#This Row],[No of lines]]*initialScan[[#This Row],[Comments (%)]],"")</f>
        <v/>
      </c>
    </row>
    <row r="40" spans="1:31" x14ac:dyDescent="0.35">
      <c r="A40" s="18">
        <v>38</v>
      </c>
      <c r="B40" s="19"/>
      <c r="C40" s="19"/>
      <c r="D40" s="19"/>
      <c r="E40" s="18"/>
      <c r="F40" s="20"/>
      <c r="G40" s="21"/>
      <c r="H40" s="19"/>
      <c r="I40" s="18"/>
      <c r="J40" s="18"/>
      <c r="K40" s="20"/>
      <c r="L40" s="20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9"/>
      <c r="AB40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40" s="18" t="str">
        <f>IF(COUNT(initialScan[[#This Row],[Unit test coverage]:[No of lines]])=2,initialScan[[#This Row],[Unit test coverage]]*initialScan[[#This Row],[No of lines]],"")</f>
        <v/>
      </c>
      <c r="AD40" s="18" t="str">
        <f>IF(COUNT(initialScan[[#This Row],[Duplication %]],initialScan[[#This Row],[No of lines]])=2,initialScan[[#This Row],[No of lines]]*initialScan[[#This Row],[Duplication %]],"")</f>
        <v/>
      </c>
      <c r="AE40" s="18" t="str">
        <f>IF(COUNT(initialScan[[#This Row],[Comments (%)]],initialScan[[#This Row],[No of lines]])=2,initialScan[[#This Row],[No of lines]]*initialScan[[#This Row],[Comments (%)]],"")</f>
        <v/>
      </c>
    </row>
    <row r="41" spans="1:31" x14ac:dyDescent="0.35">
      <c r="A41" s="18">
        <v>39</v>
      </c>
      <c r="B41" s="19"/>
      <c r="C41" s="19"/>
      <c r="D41" s="19"/>
      <c r="E41" s="18"/>
      <c r="F41" s="20"/>
      <c r="G41" s="21"/>
      <c r="H41" s="19"/>
      <c r="I41" s="18"/>
      <c r="J41" s="18"/>
      <c r="K41" s="20"/>
      <c r="L41" s="20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9"/>
      <c r="AB41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41" s="18" t="str">
        <f>IF(COUNT(initialScan[[#This Row],[Unit test coverage]:[No of lines]])=2,initialScan[[#This Row],[Unit test coverage]]*initialScan[[#This Row],[No of lines]],"")</f>
        <v/>
      </c>
      <c r="AD41" s="18" t="str">
        <f>IF(COUNT(initialScan[[#This Row],[Duplication %]],initialScan[[#This Row],[No of lines]])=2,initialScan[[#This Row],[No of lines]]*initialScan[[#This Row],[Duplication %]],"")</f>
        <v/>
      </c>
      <c r="AE41" s="18" t="str">
        <f>IF(COUNT(initialScan[[#This Row],[Comments (%)]],initialScan[[#This Row],[No of lines]])=2,initialScan[[#This Row],[No of lines]]*initialScan[[#This Row],[Comments (%)]],"")</f>
        <v/>
      </c>
    </row>
    <row r="42" spans="1:31" x14ac:dyDescent="0.35">
      <c r="A42" s="18">
        <v>40</v>
      </c>
      <c r="B42" s="19"/>
      <c r="C42" s="19"/>
      <c r="D42" s="19"/>
      <c r="E42" s="18"/>
      <c r="F42" s="20"/>
      <c r="G42" s="21"/>
      <c r="H42" s="19"/>
      <c r="I42" s="18"/>
      <c r="J42" s="18"/>
      <c r="K42" s="20"/>
      <c r="L42" s="20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9"/>
      <c r="AB42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42" s="18" t="str">
        <f>IF(COUNT(initialScan[[#This Row],[Unit test coverage]:[No of lines]])=2,initialScan[[#This Row],[Unit test coverage]]*initialScan[[#This Row],[No of lines]],"")</f>
        <v/>
      </c>
      <c r="AD42" s="18" t="str">
        <f>IF(COUNT(initialScan[[#This Row],[Duplication %]],initialScan[[#This Row],[No of lines]])=2,initialScan[[#This Row],[No of lines]]*initialScan[[#This Row],[Duplication %]],"")</f>
        <v/>
      </c>
      <c r="AE42" s="18" t="str">
        <f>IF(COUNT(initialScan[[#This Row],[Comments (%)]],initialScan[[#This Row],[No of lines]])=2,initialScan[[#This Row],[No of lines]]*initialScan[[#This Row],[Comments (%)]],"")</f>
        <v/>
      </c>
    </row>
    <row r="43" spans="1:31" x14ac:dyDescent="0.35">
      <c r="A43" s="18">
        <v>41</v>
      </c>
      <c r="B43" s="19"/>
      <c r="C43" s="19"/>
      <c r="D43" s="19"/>
      <c r="E43" s="18"/>
      <c r="F43" s="20"/>
      <c r="G43" s="21"/>
      <c r="H43" s="19"/>
      <c r="I43" s="18"/>
      <c r="J43" s="18"/>
      <c r="K43" s="20"/>
      <c r="L43" s="20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9"/>
      <c r="AB43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43" s="18" t="str">
        <f>IF(COUNT(initialScan[[#This Row],[Unit test coverage]:[No of lines]])=2,initialScan[[#This Row],[Unit test coverage]]*initialScan[[#This Row],[No of lines]],"")</f>
        <v/>
      </c>
      <c r="AD43" s="18" t="str">
        <f>IF(COUNT(initialScan[[#This Row],[Duplication %]],initialScan[[#This Row],[No of lines]])=2,initialScan[[#This Row],[No of lines]]*initialScan[[#This Row],[Duplication %]],"")</f>
        <v/>
      </c>
      <c r="AE43" s="18" t="str">
        <f>IF(COUNT(initialScan[[#This Row],[Comments (%)]],initialScan[[#This Row],[No of lines]])=2,initialScan[[#This Row],[No of lines]]*initialScan[[#This Row],[Comments (%)]],"")</f>
        <v/>
      </c>
    </row>
    <row r="44" spans="1:31" x14ac:dyDescent="0.35">
      <c r="A44" s="18">
        <v>42</v>
      </c>
      <c r="B44" s="19"/>
      <c r="C44" s="19"/>
      <c r="D44" s="19"/>
      <c r="E44" s="18"/>
      <c r="F44" s="20"/>
      <c r="G44" s="21"/>
      <c r="H44" s="19"/>
      <c r="I44" s="18"/>
      <c r="J44" s="18"/>
      <c r="K44" s="20"/>
      <c r="L44" s="20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9"/>
      <c r="AB44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44" s="18" t="str">
        <f>IF(COUNT(initialScan[[#This Row],[Unit test coverage]:[No of lines]])=2,initialScan[[#This Row],[Unit test coverage]]*initialScan[[#This Row],[No of lines]],"")</f>
        <v/>
      </c>
      <c r="AD44" s="18" t="str">
        <f>IF(COUNT(initialScan[[#This Row],[Duplication %]],initialScan[[#This Row],[No of lines]])=2,initialScan[[#This Row],[No of lines]]*initialScan[[#This Row],[Duplication %]],"")</f>
        <v/>
      </c>
      <c r="AE44" s="18" t="str">
        <f>IF(COUNT(initialScan[[#This Row],[Comments (%)]],initialScan[[#This Row],[No of lines]])=2,initialScan[[#This Row],[No of lines]]*initialScan[[#This Row],[Comments (%)]],"")</f>
        <v/>
      </c>
    </row>
    <row r="45" spans="1:31" x14ac:dyDescent="0.35">
      <c r="A45" s="18">
        <v>43</v>
      </c>
      <c r="B45" s="19"/>
      <c r="C45" s="19"/>
      <c r="D45" s="19"/>
      <c r="E45" s="18"/>
      <c r="F45" s="20"/>
      <c r="G45" s="21"/>
      <c r="H45" s="19"/>
      <c r="I45" s="18"/>
      <c r="J45" s="18"/>
      <c r="K45" s="20"/>
      <c r="L45" s="20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9"/>
      <c r="AB45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45" s="18" t="str">
        <f>IF(COUNT(initialScan[[#This Row],[Unit test coverage]:[No of lines]])=2,initialScan[[#This Row],[Unit test coverage]]*initialScan[[#This Row],[No of lines]],"")</f>
        <v/>
      </c>
      <c r="AD45" s="18" t="str">
        <f>IF(COUNT(initialScan[[#This Row],[Duplication %]],initialScan[[#This Row],[No of lines]])=2,initialScan[[#This Row],[No of lines]]*initialScan[[#This Row],[Duplication %]],"")</f>
        <v/>
      </c>
      <c r="AE45" s="18" t="str">
        <f>IF(COUNT(initialScan[[#This Row],[Comments (%)]],initialScan[[#This Row],[No of lines]])=2,initialScan[[#This Row],[No of lines]]*initialScan[[#This Row],[Comments (%)]],"")</f>
        <v/>
      </c>
    </row>
    <row r="46" spans="1:31" x14ac:dyDescent="0.35">
      <c r="A46" s="18">
        <v>44</v>
      </c>
      <c r="B46" s="19"/>
      <c r="C46" s="19"/>
      <c r="D46" s="19"/>
      <c r="E46" s="18"/>
      <c r="F46" s="20"/>
      <c r="G46" s="21"/>
      <c r="H46" s="19"/>
      <c r="I46" s="18"/>
      <c r="J46" s="18"/>
      <c r="K46" s="20"/>
      <c r="L46" s="20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9"/>
      <c r="AB46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46" s="18" t="str">
        <f>IF(COUNT(initialScan[[#This Row],[Unit test coverage]:[No of lines]])=2,initialScan[[#This Row],[Unit test coverage]]*initialScan[[#This Row],[No of lines]],"")</f>
        <v/>
      </c>
      <c r="AD46" s="18" t="str">
        <f>IF(COUNT(initialScan[[#This Row],[Duplication %]],initialScan[[#This Row],[No of lines]])=2,initialScan[[#This Row],[No of lines]]*initialScan[[#This Row],[Duplication %]],"")</f>
        <v/>
      </c>
      <c r="AE46" s="18" t="str">
        <f>IF(COUNT(initialScan[[#This Row],[Comments (%)]],initialScan[[#This Row],[No of lines]])=2,initialScan[[#This Row],[No of lines]]*initialScan[[#This Row],[Comments (%)]],"")</f>
        <v/>
      </c>
    </row>
    <row r="47" spans="1:31" x14ac:dyDescent="0.35">
      <c r="A47" s="18">
        <v>45</v>
      </c>
      <c r="B47" s="19"/>
      <c r="C47" s="19"/>
      <c r="D47" s="19"/>
      <c r="E47" s="18"/>
      <c r="F47" s="20"/>
      <c r="G47" s="21"/>
      <c r="H47" s="19"/>
      <c r="I47" s="18"/>
      <c r="J47" s="18"/>
      <c r="K47" s="20"/>
      <c r="L47" s="20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9"/>
      <c r="AB47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47" s="18" t="str">
        <f>IF(COUNT(initialScan[[#This Row],[Unit test coverage]:[No of lines]])=2,initialScan[[#This Row],[Unit test coverage]]*initialScan[[#This Row],[No of lines]],"")</f>
        <v/>
      </c>
      <c r="AD47" s="18" t="str">
        <f>IF(COUNT(initialScan[[#This Row],[Duplication %]],initialScan[[#This Row],[No of lines]])=2,initialScan[[#This Row],[No of lines]]*initialScan[[#This Row],[Duplication %]],"")</f>
        <v/>
      </c>
      <c r="AE47" s="18" t="str">
        <f>IF(COUNT(initialScan[[#This Row],[Comments (%)]],initialScan[[#This Row],[No of lines]])=2,initialScan[[#This Row],[No of lines]]*initialScan[[#This Row],[Comments (%)]],"")</f>
        <v/>
      </c>
    </row>
    <row r="48" spans="1:31" x14ac:dyDescent="0.35">
      <c r="A48" s="18">
        <v>46</v>
      </c>
      <c r="B48" s="19"/>
      <c r="C48" s="19"/>
      <c r="D48" s="19"/>
      <c r="E48" s="18"/>
      <c r="F48" s="20"/>
      <c r="G48" s="21"/>
      <c r="H48" s="19"/>
      <c r="I48" s="18"/>
      <c r="J48" s="18"/>
      <c r="K48" s="20"/>
      <c r="L48" s="20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9"/>
      <c r="AB48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48" s="18" t="str">
        <f>IF(COUNT(initialScan[[#This Row],[Unit test coverage]:[No of lines]])=2,initialScan[[#This Row],[Unit test coverage]]*initialScan[[#This Row],[No of lines]],"")</f>
        <v/>
      </c>
      <c r="AD48" s="18" t="str">
        <f>IF(COUNT(initialScan[[#This Row],[Duplication %]],initialScan[[#This Row],[No of lines]])=2,initialScan[[#This Row],[No of lines]]*initialScan[[#This Row],[Duplication %]],"")</f>
        <v/>
      </c>
      <c r="AE48" s="18" t="str">
        <f>IF(COUNT(initialScan[[#This Row],[Comments (%)]],initialScan[[#This Row],[No of lines]])=2,initialScan[[#This Row],[No of lines]]*initialScan[[#This Row],[Comments (%)]],"")</f>
        <v/>
      </c>
    </row>
    <row r="49" spans="1:31" x14ac:dyDescent="0.35">
      <c r="A49" s="18">
        <v>47</v>
      </c>
      <c r="B49" s="19"/>
      <c r="C49" s="19"/>
      <c r="D49" s="19"/>
      <c r="E49" s="18"/>
      <c r="F49" s="20"/>
      <c r="G49" s="21"/>
      <c r="H49" s="19"/>
      <c r="I49" s="18"/>
      <c r="J49" s="18"/>
      <c r="K49" s="20"/>
      <c r="L49" s="20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9"/>
      <c r="AB49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49" s="18" t="str">
        <f>IF(COUNT(initialScan[[#This Row],[Unit test coverage]:[No of lines]])=2,initialScan[[#This Row],[Unit test coverage]]*initialScan[[#This Row],[No of lines]],"")</f>
        <v/>
      </c>
      <c r="AD49" s="18" t="str">
        <f>IF(COUNT(initialScan[[#This Row],[Duplication %]],initialScan[[#This Row],[No of lines]])=2,initialScan[[#This Row],[No of lines]]*initialScan[[#This Row],[Duplication %]],"")</f>
        <v/>
      </c>
      <c r="AE49" s="18" t="str">
        <f>IF(COUNT(initialScan[[#This Row],[Comments (%)]],initialScan[[#This Row],[No of lines]])=2,initialScan[[#This Row],[No of lines]]*initialScan[[#This Row],[Comments (%)]],"")</f>
        <v/>
      </c>
    </row>
    <row r="50" spans="1:31" x14ac:dyDescent="0.35">
      <c r="A50" s="18">
        <v>48</v>
      </c>
      <c r="B50" s="19"/>
      <c r="C50" s="19"/>
      <c r="D50" s="19"/>
      <c r="E50" s="18"/>
      <c r="F50" s="20"/>
      <c r="G50" s="21"/>
      <c r="H50" s="19"/>
      <c r="I50" s="18"/>
      <c r="J50" s="18"/>
      <c r="K50" s="20"/>
      <c r="L50" s="20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9"/>
      <c r="AB50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50" s="18" t="str">
        <f>IF(COUNT(initialScan[[#This Row],[Unit test coverage]:[No of lines]])=2,initialScan[[#This Row],[Unit test coverage]]*initialScan[[#This Row],[No of lines]],"")</f>
        <v/>
      </c>
      <c r="AD50" s="18" t="str">
        <f>IF(COUNT(initialScan[[#This Row],[Duplication %]],initialScan[[#This Row],[No of lines]])=2,initialScan[[#This Row],[No of lines]]*initialScan[[#This Row],[Duplication %]],"")</f>
        <v/>
      </c>
      <c r="AE50" s="18" t="str">
        <f>IF(COUNT(initialScan[[#This Row],[Comments (%)]],initialScan[[#This Row],[No of lines]])=2,initialScan[[#This Row],[No of lines]]*initialScan[[#This Row],[Comments (%)]],"")</f>
        <v/>
      </c>
    </row>
    <row r="51" spans="1:31" x14ac:dyDescent="0.35">
      <c r="A51" s="18">
        <v>49</v>
      </c>
      <c r="B51" s="19"/>
      <c r="C51" s="19"/>
      <c r="D51" s="19"/>
      <c r="E51" s="18"/>
      <c r="F51" s="20"/>
      <c r="G51" s="21"/>
      <c r="H51" s="19"/>
      <c r="I51" s="18"/>
      <c r="J51" s="18"/>
      <c r="K51" s="20"/>
      <c r="L51" s="20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9"/>
      <c r="AB51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51" s="18" t="str">
        <f>IF(COUNT(initialScan[[#This Row],[Unit test coverage]:[No of lines]])=2,initialScan[[#This Row],[Unit test coverage]]*initialScan[[#This Row],[No of lines]],"")</f>
        <v/>
      </c>
      <c r="AD51" s="18" t="str">
        <f>IF(COUNT(initialScan[[#This Row],[Duplication %]],initialScan[[#This Row],[No of lines]])=2,initialScan[[#This Row],[No of lines]]*initialScan[[#This Row],[Duplication %]],"")</f>
        <v/>
      </c>
      <c r="AE51" s="18" t="str">
        <f>IF(COUNT(initialScan[[#This Row],[Comments (%)]],initialScan[[#This Row],[No of lines]])=2,initialScan[[#This Row],[No of lines]]*initialScan[[#This Row],[Comments (%)]],"")</f>
        <v/>
      </c>
    </row>
    <row r="52" spans="1:31" x14ac:dyDescent="0.35">
      <c r="A52" s="18">
        <v>50</v>
      </c>
      <c r="B52" s="19"/>
      <c r="C52" s="19"/>
      <c r="D52" s="19"/>
      <c r="E52" s="18"/>
      <c r="F52" s="20"/>
      <c r="G52" s="21"/>
      <c r="H52" s="19"/>
      <c r="I52" s="18"/>
      <c r="J52" s="18"/>
      <c r="K52" s="20"/>
      <c r="L52" s="20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9"/>
      <c r="AB52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52" s="18" t="str">
        <f>IF(COUNT(initialScan[[#This Row],[Unit test coverage]:[No of lines]])=2,initialScan[[#This Row],[Unit test coverage]]*initialScan[[#This Row],[No of lines]],"")</f>
        <v/>
      </c>
      <c r="AD52" s="18" t="str">
        <f>IF(COUNT(initialScan[[#This Row],[Duplication %]],initialScan[[#This Row],[No of lines]])=2,initialScan[[#This Row],[No of lines]]*initialScan[[#This Row],[Duplication %]],"")</f>
        <v/>
      </c>
      <c r="AE52" s="18" t="str">
        <f>IF(COUNT(initialScan[[#This Row],[Comments (%)]],initialScan[[#This Row],[No of lines]])=2,initialScan[[#This Row],[No of lines]]*initialScan[[#This Row],[Comments (%)]],"")</f>
        <v/>
      </c>
    </row>
    <row r="53" spans="1:31" x14ac:dyDescent="0.35">
      <c r="A53" s="18">
        <v>51</v>
      </c>
      <c r="B53" s="19"/>
      <c r="C53" s="19"/>
      <c r="D53" s="19"/>
      <c r="E53" s="18"/>
      <c r="F53" s="20"/>
      <c r="G53" s="21"/>
      <c r="H53" s="19"/>
      <c r="I53" s="18"/>
      <c r="J53" s="18"/>
      <c r="K53" s="20"/>
      <c r="L53" s="20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9"/>
      <c r="AB53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53" s="18" t="str">
        <f>IF(COUNT(initialScan[[#This Row],[Unit test coverage]:[No of lines]])=2,initialScan[[#This Row],[Unit test coverage]]*initialScan[[#This Row],[No of lines]],"")</f>
        <v/>
      </c>
      <c r="AD53" s="18" t="str">
        <f>IF(COUNT(initialScan[[#This Row],[Duplication %]],initialScan[[#This Row],[No of lines]])=2,initialScan[[#This Row],[No of lines]]*initialScan[[#This Row],[Duplication %]],"")</f>
        <v/>
      </c>
      <c r="AE53" s="18" t="str">
        <f>IF(COUNT(initialScan[[#This Row],[Comments (%)]],initialScan[[#This Row],[No of lines]])=2,initialScan[[#This Row],[No of lines]]*initialScan[[#This Row],[Comments (%)]],"")</f>
        <v/>
      </c>
    </row>
    <row r="54" spans="1:31" x14ac:dyDescent="0.35">
      <c r="A54" s="18">
        <v>52</v>
      </c>
      <c r="B54" s="19"/>
      <c r="C54" s="19"/>
      <c r="D54" s="19"/>
      <c r="E54" s="18"/>
      <c r="F54" s="20"/>
      <c r="G54" s="21"/>
      <c r="H54" s="19"/>
      <c r="I54" s="18"/>
      <c r="J54" s="18"/>
      <c r="K54" s="20"/>
      <c r="L54" s="20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9"/>
      <c r="AB54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54" s="18" t="str">
        <f>IF(COUNT(initialScan[[#This Row],[Unit test coverage]:[No of lines]])=2,initialScan[[#This Row],[Unit test coverage]]*initialScan[[#This Row],[No of lines]],"")</f>
        <v/>
      </c>
      <c r="AD54" s="18" t="str">
        <f>IF(COUNT(initialScan[[#This Row],[Duplication %]],initialScan[[#This Row],[No of lines]])=2,initialScan[[#This Row],[No of lines]]*initialScan[[#This Row],[Duplication %]],"")</f>
        <v/>
      </c>
      <c r="AE54" s="18" t="str">
        <f>IF(COUNT(initialScan[[#This Row],[Comments (%)]],initialScan[[#This Row],[No of lines]])=2,initialScan[[#This Row],[No of lines]]*initialScan[[#This Row],[Comments (%)]],"")</f>
        <v/>
      </c>
    </row>
    <row r="55" spans="1:31" x14ac:dyDescent="0.35">
      <c r="A55" s="18">
        <v>53</v>
      </c>
      <c r="B55" s="19"/>
      <c r="C55" s="19"/>
      <c r="D55" s="19"/>
      <c r="E55" s="18"/>
      <c r="F55" s="20"/>
      <c r="G55" s="21"/>
      <c r="H55" s="19"/>
      <c r="I55" s="18"/>
      <c r="J55" s="18"/>
      <c r="K55" s="20"/>
      <c r="L55" s="20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9"/>
      <c r="AB55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55" s="18" t="str">
        <f>IF(COUNT(initialScan[[#This Row],[Unit test coverage]:[No of lines]])=2,initialScan[[#This Row],[Unit test coverage]]*initialScan[[#This Row],[No of lines]],"")</f>
        <v/>
      </c>
      <c r="AD55" s="18" t="str">
        <f>IF(COUNT(initialScan[[#This Row],[Duplication %]],initialScan[[#This Row],[No of lines]])=2,initialScan[[#This Row],[No of lines]]*initialScan[[#This Row],[Duplication %]],"")</f>
        <v/>
      </c>
      <c r="AE55" s="18" t="str">
        <f>IF(COUNT(initialScan[[#This Row],[Comments (%)]],initialScan[[#This Row],[No of lines]])=2,initialScan[[#This Row],[No of lines]]*initialScan[[#This Row],[Comments (%)]],"")</f>
        <v/>
      </c>
    </row>
    <row r="56" spans="1:31" x14ac:dyDescent="0.35">
      <c r="A56" s="18">
        <v>54</v>
      </c>
      <c r="B56" s="19"/>
      <c r="C56" s="19"/>
      <c r="D56" s="19"/>
      <c r="E56" s="18"/>
      <c r="F56" s="20"/>
      <c r="G56" s="21"/>
      <c r="H56" s="19"/>
      <c r="I56" s="18"/>
      <c r="J56" s="18"/>
      <c r="K56" s="20"/>
      <c r="L56" s="20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9"/>
      <c r="AB56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56" s="18" t="str">
        <f>IF(COUNT(initialScan[[#This Row],[Unit test coverage]:[No of lines]])=2,initialScan[[#This Row],[Unit test coverage]]*initialScan[[#This Row],[No of lines]],"")</f>
        <v/>
      </c>
      <c r="AD56" s="18" t="str">
        <f>IF(COUNT(initialScan[[#This Row],[Duplication %]],initialScan[[#This Row],[No of lines]])=2,initialScan[[#This Row],[No of lines]]*initialScan[[#This Row],[Duplication %]],"")</f>
        <v/>
      </c>
      <c r="AE56" s="18" t="str">
        <f>IF(COUNT(initialScan[[#This Row],[Comments (%)]],initialScan[[#This Row],[No of lines]])=2,initialScan[[#This Row],[No of lines]]*initialScan[[#This Row],[Comments (%)]],"")</f>
        <v/>
      </c>
    </row>
    <row r="57" spans="1:31" x14ac:dyDescent="0.35">
      <c r="A57" s="18">
        <v>55</v>
      </c>
      <c r="B57" s="19"/>
      <c r="C57" s="19"/>
      <c r="D57" s="19"/>
      <c r="E57" s="18"/>
      <c r="F57" s="20"/>
      <c r="G57" s="21"/>
      <c r="H57" s="19"/>
      <c r="I57" s="18"/>
      <c r="J57" s="18"/>
      <c r="K57" s="20"/>
      <c r="L57" s="20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9"/>
      <c r="AB57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57" s="18" t="str">
        <f>IF(COUNT(initialScan[[#This Row],[Unit test coverage]:[No of lines]])=2,initialScan[[#This Row],[Unit test coverage]]*initialScan[[#This Row],[No of lines]],"")</f>
        <v/>
      </c>
      <c r="AD57" s="18" t="str">
        <f>IF(COUNT(initialScan[[#This Row],[Duplication %]],initialScan[[#This Row],[No of lines]])=2,initialScan[[#This Row],[No of lines]]*initialScan[[#This Row],[Duplication %]],"")</f>
        <v/>
      </c>
      <c r="AE57" s="18" t="str">
        <f>IF(COUNT(initialScan[[#This Row],[Comments (%)]],initialScan[[#This Row],[No of lines]])=2,initialScan[[#This Row],[No of lines]]*initialScan[[#This Row],[Comments (%)]],"")</f>
        <v/>
      </c>
    </row>
    <row r="58" spans="1:31" x14ac:dyDescent="0.35">
      <c r="A58" s="18">
        <v>56</v>
      </c>
      <c r="B58" s="19"/>
      <c r="C58" s="19"/>
      <c r="D58" s="19"/>
      <c r="E58" s="18"/>
      <c r="F58" s="20"/>
      <c r="G58" s="21"/>
      <c r="H58" s="19"/>
      <c r="I58" s="18"/>
      <c r="J58" s="18"/>
      <c r="K58" s="20"/>
      <c r="L58" s="20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9"/>
      <c r="AB58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58" s="18" t="str">
        <f>IF(COUNT(initialScan[[#This Row],[Unit test coverage]:[No of lines]])=2,initialScan[[#This Row],[Unit test coverage]]*initialScan[[#This Row],[No of lines]],"")</f>
        <v/>
      </c>
      <c r="AD58" s="18" t="str">
        <f>IF(COUNT(initialScan[[#This Row],[Duplication %]],initialScan[[#This Row],[No of lines]])=2,initialScan[[#This Row],[No of lines]]*initialScan[[#This Row],[Duplication %]],"")</f>
        <v/>
      </c>
      <c r="AE58" s="18" t="str">
        <f>IF(COUNT(initialScan[[#This Row],[Comments (%)]],initialScan[[#This Row],[No of lines]])=2,initialScan[[#This Row],[No of lines]]*initialScan[[#This Row],[Comments (%)]],"")</f>
        <v/>
      </c>
    </row>
    <row r="59" spans="1:31" x14ac:dyDescent="0.35">
      <c r="A59" s="18">
        <v>57</v>
      </c>
      <c r="B59" s="19"/>
      <c r="C59" s="19"/>
      <c r="D59" s="19"/>
      <c r="E59" s="18"/>
      <c r="F59" s="20"/>
      <c r="G59" s="21"/>
      <c r="H59" s="19"/>
      <c r="I59" s="18"/>
      <c r="J59" s="18"/>
      <c r="K59" s="20"/>
      <c r="L59" s="20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9"/>
      <c r="AB59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59" s="18" t="str">
        <f>IF(COUNT(initialScan[[#This Row],[Unit test coverage]:[No of lines]])=2,initialScan[[#This Row],[Unit test coverage]]*initialScan[[#This Row],[No of lines]],"")</f>
        <v/>
      </c>
      <c r="AD59" s="18" t="str">
        <f>IF(COUNT(initialScan[[#This Row],[Duplication %]],initialScan[[#This Row],[No of lines]])=2,initialScan[[#This Row],[No of lines]]*initialScan[[#This Row],[Duplication %]],"")</f>
        <v/>
      </c>
      <c r="AE59" s="18" t="str">
        <f>IF(COUNT(initialScan[[#This Row],[Comments (%)]],initialScan[[#This Row],[No of lines]])=2,initialScan[[#This Row],[No of lines]]*initialScan[[#This Row],[Comments (%)]],"")</f>
        <v/>
      </c>
    </row>
    <row r="60" spans="1:31" x14ac:dyDescent="0.35">
      <c r="A60" s="18">
        <v>58</v>
      </c>
      <c r="B60" s="19"/>
      <c r="C60" s="19"/>
      <c r="D60" s="19"/>
      <c r="E60" s="18"/>
      <c r="F60" s="20"/>
      <c r="G60" s="21"/>
      <c r="H60" s="19"/>
      <c r="I60" s="18"/>
      <c r="J60" s="18"/>
      <c r="K60" s="20"/>
      <c r="L60" s="20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9"/>
      <c r="AB60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60" s="18" t="str">
        <f>IF(COUNT(initialScan[[#This Row],[Unit test coverage]:[No of lines]])=2,initialScan[[#This Row],[Unit test coverage]]*initialScan[[#This Row],[No of lines]],"")</f>
        <v/>
      </c>
      <c r="AD60" s="18" t="str">
        <f>IF(COUNT(initialScan[[#This Row],[Duplication %]],initialScan[[#This Row],[No of lines]])=2,initialScan[[#This Row],[No of lines]]*initialScan[[#This Row],[Duplication %]],"")</f>
        <v/>
      </c>
      <c r="AE60" s="18" t="str">
        <f>IF(COUNT(initialScan[[#This Row],[Comments (%)]],initialScan[[#This Row],[No of lines]])=2,initialScan[[#This Row],[No of lines]]*initialScan[[#This Row],[Comments (%)]],"")</f>
        <v/>
      </c>
    </row>
    <row r="61" spans="1:31" x14ac:dyDescent="0.35">
      <c r="A61" s="18">
        <v>59</v>
      </c>
      <c r="B61" s="19"/>
      <c r="C61" s="19"/>
      <c r="D61" s="19"/>
      <c r="E61" s="18"/>
      <c r="F61" s="20"/>
      <c r="G61" s="21"/>
      <c r="H61" s="19"/>
      <c r="I61" s="18"/>
      <c r="J61" s="18"/>
      <c r="K61" s="20"/>
      <c r="L61" s="20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9"/>
      <c r="AB61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61" s="18" t="str">
        <f>IF(COUNT(initialScan[[#This Row],[Unit test coverage]:[No of lines]])=2,initialScan[[#This Row],[Unit test coverage]]*initialScan[[#This Row],[No of lines]],"")</f>
        <v/>
      </c>
      <c r="AD61" s="18" t="str">
        <f>IF(COUNT(initialScan[[#This Row],[Duplication %]],initialScan[[#This Row],[No of lines]])=2,initialScan[[#This Row],[No of lines]]*initialScan[[#This Row],[Duplication %]],"")</f>
        <v/>
      </c>
      <c r="AE61" s="18" t="str">
        <f>IF(COUNT(initialScan[[#This Row],[Comments (%)]],initialScan[[#This Row],[No of lines]])=2,initialScan[[#This Row],[No of lines]]*initialScan[[#This Row],[Comments (%)]],"")</f>
        <v/>
      </c>
    </row>
    <row r="62" spans="1:31" x14ac:dyDescent="0.35">
      <c r="A62" s="18">
        <v>60</v>
      </c>
      <c r="B62" s="19"/>
      <c r="C62" s="19"/>
      <c r="D62" s="19"/>
      <c r="E62" s="18"/>
      <c r="F62" s="20"/>
      <c r="G62" s="21"/>
      <c r="H62" s="19"/>
      <c r="I62" s="18"/>
      <c r="J62" s="18"/>
      <c r="K62" s="20"/>
      <c r="L62" s="20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9"/>
      <c r="AB62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62" s="18" t="str">
        <f>IF(COUNT(initialScan[[#This Row],[Unit test coverage]:[No of lines]])=2,initialScan[[#This Row],[Unit test coverage]]*initialScan[[#This Row],[No of lines]],"")</f>
        <v/>
      </c>
      <c r="AD62" s="18" t="str">
        <f>IF(COUNT(initialScan[[#This Row],[Duplication %]],initialScan[[#This Row],[No of lines]])=2,initialScan[[#This Row],[No of lines]]*initialScan[[#This Row],[Duplication %]],"")</f>
        <v/>
      </c>
      <c r="AE62" s="18" t="str">
        <f>IF(COUNT(initialScan[[#This Row],[Comments (%)]],initialScan[[#This Row],[No of lines]])=2,initialScan[[#This Row],[No of lines]]*initialScan[[#This Row],[Comments (%)]],"")</f>
        <v/>
      </c>
    </row>
    <row r="63" spans="1:31" x14ac:dyDescent="0.35">
      <c r="A63" s="18">
        <v>61</v>
      </c>
      <c r="B63" s="19"/>
      <c r="C63" s="19"/>
      <c r="D63" s="19"/>
      <c r="E63" s="18"/>
      <c r="F63" s="20"/>
      <c r="G63" s="21"/>
      <c r="H63" s="19"/>
      <c r="I63" s="18"/>
      <c r="J63" s="18"/>
      <c r="K63" s="20"/>
      <c r="L63" s="20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9"/>
      <c r="AB63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63" s="18" t="str">
        <f>IF(COUNT(initialScan[[#This Row],[Unit test coverage]:[No of lines]])=2,initialScan[[#This Row],[Unit test coverage]]*initialScan[[#This Row],[No of lines]],"")</f>
        <v/>
      </c>
      <c r="AD63" s="18" t="str">
        <f>IF(COUNT(initialScan[[#This Row],[Duplication %]],initialScan[[#This Row],[No of lines]])=2,initialScan[[#This Row],[No of lines]]*initialScan[[#This Row],[Duplication %]],"")</f>
        <v/>
      </c>
      <c r="AE63" s="18" t="str">
        <f>IF(COUNT(initialScan[[#This Row],[Comments (%)]],initialScan[[#This Row],[No of lines]])=2,initialScan[[#This Row],[No of lines]]*initialScan[[#This Row],[Comments (%)]],"")</f>
        <v/>
      </c>
    </row>
    <row r="64" spans="1:31" x14ac:dyDescent="0.35">
      <c r="A64" s="18">
        <v>62</v>
      </c>
      <c r="B64" s="19"/>
      <c r="C64" s="19"/>
      <c r="D64" s="19"/>
      <c r="E64" s="18"/>
      <c r="F64" s="20"/>
      <c r="G64" s="21"/>
      <c r="H64" s="19"/>
      <c r="I64" s="18"/>
      <c r="J64" s="18"/>
      <c r="K64" s="20"/>
      <c r="L64" s="20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9"/>
      <c r="AB64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64" s="18" t="str">
        <f>IF(COUNT(initialScan[[#This Row],[Unit test coverage]:[No of lines]])=2,initialScan[[#This Row],[Unit test coverage]]*initialScan[[#This Row],[No of lines]],"")</f>
        <v/>
      </c>
      <c r="AD64" s="18" t="str">
        <f>IF(COUNT(initialScan[[#This Row],[Duplication %]],initialScan[[#This Row],[No of lines]])=2,initialScan[[#This Row],[No of lines]]*initialScan[[#This Row],[Duplication %]],"")</f>
        <v/>
      </c>
      <c r="AE64" s="18" t="str">
        <f>IF(COUNT(initialScan[[#This Row],[Comments (%)]],initialScan[[#This Row],[No of lines]])=2,initialScan[[#This Row],[No of lines]]*initialScan[[#This Row],[Comments (%)]],"")</f>
        <v/>
      </c>
    </row>
    <row r="65" spans="1:31" x14ac:dyDescent="0.35">
      <c r="A65" s="18">
        <v>63</v>
      </c>
      <c r="B65" s="19"/>
      <c r="C65" s="19"/>
      <c r="D65" s="19"/>
      <c r="E65" s="18"/>
      <c r="F65" s="20"/>
      <c r="G65" s="21"/>
      <c r="H65" s="19"/>
      <c r="I65" s="18"/>
      <c r="J65" s="18"/>
      <c r="K65" s="20"/>
      <c r="L65" s="20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9"/>
      <c r="AB65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65" s="18" t="str">
        <f>IF(COUNT(initialScan[[#This Row],[Unit test coverage]:[No of lines]])=2,initialScan[[#This Row],[Unit test coverage]]*initialScan[[#This Row],[No of lines]],"")</f>
        <v/>
      </c>
      <c r="AD65" s="18" t="str">
        <f>IF(COUNT(initialScan[[#This Row],[Duplication %]],initialScan[[#This Row],[No of lines]])=2,initialScan[[#This Row],[No of lines]]*initialScan[[#This Row],[Duplication %]],"")</f>
        <v/>
      </c>
      <c r="AE65" s="18" t="str">
        <f>IF(COUNT(initialScan[[#This Row],[Comments (%)]],initialScan[[#This Row],[No of lines]])=2,initialScan[[#This Row],[No of lines]]*initialScan[[#This Row],[Comments (%)]],"")</f>
        <v/>
      </c>
    </row>
    <row r="66" spans="1:31" x14ac:dyDescent="0.35">
      <c r="A66" s="18">
        <v>64</v>
      </c>
      <c r="B66" s="19"/>
      <c r="C66" s="19"/>
      <c r="D66" s="19"/>
      <c r="E66" s="18"/>
      <c r="F66" s="20"/>
      <c r="G66" s="21"/>
      <c r="H66" s="19"/>
      <c r="I66" s="18"/>
      <c r="J66" s="18"/>
      <c r="K66" s="20"/>
      <c r="L66" s="20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9"/>
      <c r="AB66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66" s="18" t="str">
        <f>IF(COUNT(initialScan[[#This Row],[Unit test coverage]:[No of lines]])=2,initialScan[[#This Row],[Unit test coverage]]*initialScan[[#This Row],[No of lines]],"")</f>
        <v/>
      </c>
      <c r="AD66" s="18" t="str">
        <f>IF(COUNT(initialScan[[#This Row],[Duplication %]],initialScan[[#This Row],[No of lines]])=2,initialScan[[#This Row],[No of lines]]*initialScan[[#This Row],[Duplication %]],"")</f>
        <v/>
      </c>
      <c r="AE66" s="18" t="str">
        <f>IF(COUNT(initialScan[[#This Row],[Comments (%)]],initialScan[[#This Row],[No of lines]])=2,initialScan[[#This Row],[No of lines]]*initialScan[[#This Row],[Comments (%)]],"")</f>
        <v/>
      </c>
    </row>
    <row r="67" spans="1:31" x14ac:dyDescent="0.35">
      <c r="A67" s="18">
        <v>65</v>
      </c>
      <c r="B67" s="19"/>
      <c r="C67" s="19"/>
      <c r="D67" s="19"/>
      <c r="E67" s="18"/>
      <c r="F67" s="20"/>
      <c r="G67" s="21"/>
      <c r="H67" s="19"/>
      <c r="I67" s="18"/>
      <c r="J67" s="18"/>
      <c r="K67" s="20"/>
      <c r="L67" s="20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9"/>
      <c r="AB67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67" s="18" t="str">
        <f>IF(COUNT(initialScan[[#This Row],[Unit test coverage]:[No of lines]])=2,initialScan[[#This Row],[Unit test coverage]]*initialScan[[#This Row],[No of lines]],"")</f>
        <v/>
      </c>
      <c r="AD67" s="18" t="str">
        <f>IF(COUNT(initialScan[[#This Row],[Duplication %]],initialScan[[#This Row],[No of lines]])=2,initialScan[[#This Row],[No of lines]]*initialScan[[#This Row],[Duplication %]],"")</f>
        <v/>
      </c>
      <c r="AE67" s="18" t="str">
        <f>IF(COUNT(initialScan[[#This Row],[Comments (%)]],initialScan[[#This Row],[No of lines]])=2,initialScan[[#This Row],[No of lines]]*initialScan[[#This Row],[Comments (%)]],"")</f>
        <v/>
      </c>
    </row>
    <row r="68" spans="1:31" x14ac:dyDescent="0.35">
      <c r="A68" s="18">
        <v>66</v>
      </c>
      <c r="B68" s="19"/>
      <c r="C68" s="19"/>
      <c r="D68" s="19"/>
      <c r="E68" s="18"/>
      <c r="F68" s="20"/>
      <c r="G68" s="21"/>
      <c r="H68" s="19"/>
      <c r="I68" s="18"/>
      <c r="J68" s="18"/>
      <c r="K68" s="20"/>
      <c r="L68" s="20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9"/>
      <c r="AB68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68" s="18" t="str">
        <f>IF(COUNT(initialScan[[#This Row],[Unit test coverage]:[No of lines]])=2,initialScan[[#This Row],[Unit test coverage]]*initialScan[[#This Row],[No of lines]],"")</f>
        <v/>
      </c>
      <c r="AD68" s="18" t="str">
        <f>IF(COUNT(initialScan[[#This Row],[Duplication %]],initialScan[[#This Row],[No of lines]])=2,initialScan[[#This Row],[No of lines]]*initialScan[[#This Row],[Duplication %]],"")</f>
        <v/>
      </c>
      <c r="AE68" s="18" t="str">
        <f>IF(COUNT(initialScan[[#This Row],[Comments (%)]],initialScan[[#This Row],[No of lines]])=2,initialScan[[#This Row],[No of lines]]*initialScan[[#This Row],[Comments (%)]],"")</f>
        <v/>
      </c>
    </row>
    <row r="69" spans="1:31" x14ac:dyDescent="0.35">
      <c r="A69" s="18">
        <v>67</v>
      </c>
      <c r="B69" s="19"/>
      <c r="C69" s="19"/>
      <c r="D69" s="19"/>
      <c r="E69" s="18"/>
      <c r="F69" s="20"/>
      <c r="G69" s="21"/>
      <c r="H69" s="19"/>
      <c r="I69" s="18"/>
      <c r="J69" s="18"/>
      <c r="K69" s="20"/>
      <c r="L69" s="20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9"/>
      <c r="AB69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69" s="18" t="str">
        <f>IF(COUNT(initialScan[[#This Row],[Unit test coverage]:[No of lines]])=2,initialScan[[#This Row],[Unit test coverage]]*initialScan[[#This Row],[No of lines]],"")</f>
        <v/>
      </c>
      <c r="AD69" s="18" t="str">
        <f>IF(COUNT(initialScan[[#This Row],[Duplication %]],initialScan[[#This Row],[No of lines]])=2,initialScan[[#This Row],[No of lines]]*initialScan[[#This Row],[Duplication %]],"")</f>
        <v/>
      </c>
      <c r="AE69" s="18" t="str">
        <f>IF(COUNT(initialScan[[#This Row],[Comments (%)]],initialScan[[#This Row],[No of lines]])=2,initialScan[[#This Row],[No of lines]]*initialScan[[#This Row],[Comments (%)]],"")</f>
        <v/>
      </c>
    </row>
    <row r="70" spans="1:31" x14ac:dyDescent="0.35">
      <c r="A70" s="18">
        <v>68</v>
      </c>
      <c r="B70" s="19"/>
      <c r="C70" s="19"/>
      <c r="D70" s="19"/>
      <c r="E70" s="18"/>
      <c r="F70" s="20"/>
      <c r="G70" s="21"/>
      <c r="H70" s="19"/>
      <c r="I70" s="18"/>
      <c r="J70" s="18"/>
      <c r="K70" s="20"/>
      <c r="L70" s="20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9"/>
      <c r="AB70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70" s="18" t="str">
        <f>IF(COUNT(initialScan[[#This Row],[Unit test coverage]:[No of lines]])=2,initialScan[[#This Row],[Unit test coverage]]*initialScan[[#This Row],[No of lines]],"")</f>
        <v/>
      </c>
      <c r="AD70" s="18" t="str">
        <f>IF(COUNT(initialScan[[#This Row],[Duplication %]],initialScan[[#This Row],[No of lines]])=2,initialScan[[#This Row],[No of lines]]*initialScan[[#This Row],[Duplication %]],"")</f>
        <v/>
      </c>
      <c r="AE70" s="18" t="str">
        <f>IF(COUNT(initialScan[[#This Row],[Comments (%)]],initialScan[[#This Row],[No of lines]])=2,initialScan[[#This Row],[No of lines]]*initialScan[[#This Row],[Comments (%)]],"")</f>
        <v/>
      </c>
    </row>
    <row r="71" spans="1:31" x14ac:dyDescent="0.35">
      <c r="A71" s="18">
        <v>69</v>
      </c>
      <c r="B71" s="19"/>
      <c r="C71" s="19"/>
      <c r="D71" s="19"/>
      <c r="E71" s="18"/>
      <c r="F71" s="20"/>
      <c r="G71" s="21"/>
      <c r="H71" s="19"/>
      <c r="I71" s="18"/>
      <c r="J71" s="18"/>
      <c r="K71" s="20"/>
      <c r="L71" s="20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9"/>
      <c r="AB71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71" s="18" t="str">
        <f>IF(COUNT(initialScan[[#This Row],[Unit test coverage]:[No of lines]])=2,initialScan[[#This Row],[Unit test coverage]]*initialScan[[#This Row],[No of lines]],"")</f>
        <v/>
      </c>
      <c r="AD71" s="18" t="str">
        <f>IF(COUNT(initialScan[[#This Row],[Duplication %]],initialScan[[#This Row],[No of lines]])=2,initialScan[[#This Row],[No of lines]]*initialScan[[#This Row],[Duplication %]],"")</f>
        <v/>
      </c>
      <c r="AE71" s="18" t="str">
        <f>IF(COUNT(initialScan[[#This Row],[Comments (%)]],initialScan[[#This Row],[No of lines]])=2,initialScan[[#This Row],[No of lines]]*initialScan[[#This Row],[Comments (%)]],"")</f>
        <v/>
      </c>
    </row>
    <row r="72" spans="1:31" x14ac:dyDescent="0.35">
      <c r="A72" s="18">
        <v>70</v>
      </c>
      <c r="B72" s="19"/>
      <c r="C72" s="19"/>
      <c r="D72" s="19"/>
      <c r="E72" s="18"/>
      <c r="F72" s="20"/>
      <c r="G72" s="21"/>
      <c r="H72" s="19"/>
      <c r="I72" s="18"/>
      <c r="J72" s="18"/>
      <c r="K72" s="20"/>
      <c r="L72" s="20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9"/>
      <c r="AB72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72" s="18" t="str">
        <f>IF(COUNT(initialScan[[#This Row],[Unit test coverage]:[No of lines]])=2,initialScan[[#This Row],[Unit test coverage]]*initialScan[[#This Row],[No of lines]],"")</f>
        <v/>
      </c>
      <c r="AD72" s="18" t="str">
        <f>IF(COUNT(initialScan[[#This Row],[Duplication %]],initialScan[[#This Row],[No of lines]])=2,initialScan[[#This Row],[No of lines]]*initialScan[[#This Row],[Duplication %]],"")</f>
        <v/>
      </c>
      <c r="AE72" s="18" t="str">
        <f>IF(COUNT(initialScan[[#This Row],[Comments (%)]],initialScan[[#This Row],[No of lines]])=2,initialScan[[#This Row],[No of lines]]*initialScan[[#This Row],[Comments (%)]],"")</f>
        <v/>
      </c>
    </row>
    <row r="73" spans="1:31" x14ac:dyDescent="0.35">
      <c r="A73" s="18">
        <v>71</v>
      </c>
      <c r="B73" s="19"/>
      <c r="C73" s="19"/>
      <c r="D73" s="19"/>
      <c r="E73" s="18"/>
      <c r="F73" s="20"/>
      <c r="G73" s="21"/>
      <c r="H73" s="19"/>
      <c r="I73" s="18"/>
      <c r="J73" s="18"/>
      <c r="K73" s="20"/>
      <c r="L73" s="20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9"/>
      <c r="AB73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73" s="18" t="str">
        <f>IF(COUNT(initialScan[[#This Row],[Unit test coverage]:[No of lines]])=2,initialScan[[#This Row],[Unit test coverage]]*initialScan[[#This Row],[No of lines]],"")</f>
        <v/>
      </c>
      <c r="AD73" s="18" t="str">
        <f>IF(COUNT(initialScan[[#This Row],[Duplication %]],initialScan[[#This Row],[No of lines]])=2,initialScan[[#This Row],[No of lines]]*initialScan[[#This Row],[Duplication %]],"")</f>
        <v/>
      </c>
      <c r="AE73" s="18" t="str">
        <f>IF(COUNT(initialScan[[#This Row],[Comments (%)]],initialScan[[#This Row],[No of lines]])=2,initialScan[[#This Row],[No of lines]]*initialScan[[#This Row],[Comments (%)]],"")</f>
        <v/>
      </c>
    </row>
    <row r="74" spans="1:31" x14ac:dyDescent="0.35">
      <c r="A74" s="18">
        <v>72</v>
      </c>
      <c r="B74" s="19"/>
      <c r="C74" s="19"/>
      <c r="D74" s="19"/>
      <c r="E74" s="18"/>
      <c r="F74" s="20"/>
      <c r="G74" s="21"/>
      <c r="H74" s="19"/>
      <c r="I74" s="18"/>
      <c r="J74" s="18"/>
      <c r="K74" s="20"/>
      <c r="L74" s="20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9"/>
      <c r="AB74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74" s="18" t="str">
        <f>IF(COUNT(initialScan[[#This Row],[Unit test coverage]:[No of lines]])=2,initialScan[[#This Row],[Unit test coverage]]*initialScan[[#This Row],[No of lines]],"")</f>
        <v/>
      </c>
      <c r="AD74" s="18" t="str">
        <f>IF(COUNT(initialScan[[#This Row],[Duplication %]],initialScan[[#This Row],[No of lines]])=2,initialScan[[#This Row],[No of lines]]*initialScan[[#This Row],[Duplication %]],"")</f>
        <v/>
      </c>
      <c r="AE74" s="18" t="str">
        <f>IF(COUNT(initialScan[[#This Row],[Comments (%)]],initialScan[[#This Row],[No of lines]])=2,initialScan[[#This Row],[No of lines]]*initialScan[[#This Row],[Comments (%)]],"")</f>
        <v/>
      </c>
    </row>
    <row r="75" spans="1:31" x14ac:dyDescent="0.35">
      <c r="A75" s="18">
        <v>73</v>
      </c>
      <c r="B75" s="19"/>
      <c r="C75" s="19"/>
      <c r="D75" s="19"/>
      <c r="E75" s="18"/>
      <c r="F75" s="20"/>
      <c r="G75" s="21"/>
      <c r="H75" s="19"/>
      <c r="I75" s="18"/>
      <c r="J75" s="18"/>
      <c r="K75" s="20"/>
      <c r="L75" s="20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9"/>
      <c r="AB75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75" s="18" t="str">
        <f>IF(COUNT(initialScan[[#This Row],[Unit test coverage]:[No of lines]])=2,initialScan[[#This Row],[Unit test coverage]]*initialScan[[#This Row],[No of lines]],"")</f>
        <v/>
      </c>
      <c r="AD75" s="18" t="str">
        <f>IF(COUNT(initialScan[[#This Row],[Duplication %]],initialScan[[#This Row],[No of lines]])=2,initialScan[[#This Row],[No of lines]]*initialScan[[#This Row],[Duplication %]],"")</f>
        <v/>
      </c>
      <c r="AE75" s="18" t="str">
        <f>IF(COUNT(initialScan[[#This Row],[Comments (%)]],initialScan[[#This Row],[No of lines]])=2,initialScan[[#This Row],[No of lines]]*initialScan[[#This Row],[Comments (%)]],"")</f>
        <v/>
      </c>
    </row>
    <row r="76" spans="1:31" x14ac:dyDescent="0.35">
      <c r="A76" s="18">
        <v>74</v>
      </c>
      <c r="B76" s="19"/>
      <c r="C76" s="19"/>
      <c r="D76" s="19"/>
      <c r="E76" s="18"/>
      <c r="F76" s="20"/>
      <c r="G76" s="21"/>
      <c r="H76" s="19"/>
      <c r="I76" s="18"/>
      <c r="J76" s="18"/>
      <c r="K76" s="20"/>
      <c r="L76" s="20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9"/>
      <c r="AB76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76" s="18" t="str">
        <f>IF(COUNT(initialScan[[#This Row],[Unit test coverage]:[No of lines]])=2,initialScan[[#This Row],[Unit test coverage]]*initialScan[[#This Row],[No of lines]],"")</f>
        <v/>
      </c>
      <c r="AD76" s="18" t="str">
        <f>IF(COUNT(initialScan[[#This Row],[Duplication %]],initialScan[[#This Row],[No of lines]])=2,initialScan[[#This Row],[No of lines]]*initialScan[[#This Row],[Duplication %]],"")</f>
        <v/>
      </c>
      <c r="AE76" s="18" t="str">
        <f>IF(COUNT(initialScan[[#This Row],[Comments (%)]],initialScan[[#This Row],[No of lines]])=2,initialScan[[#This Row],[No of lines]]*initialScan[[#This Row],[Comments (%)]],"")</f>
        <v/>
      </c>
    </row>
    <row r="77" spans="1:31" x14ac:dyDescent="0.35">
      <c r="A77" s="18">
        <v>75</v>
      </c>
      <c r="B77" s="19"/>
      <c r="C77" s="19"/>
      <c r="D77" s="19"/>
      <c r="E77" s="18"/>
      <c r="F77" s="20"/>
      <c r="G77" s="21"/>
      <c r="H77" s="19"/>
      <c r="I77" s="18"/>
      <c r="J77" s="18"/>
      <c r="K77" s="20"/>
      <c r="L77" s="20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9"/>
      <c r="AB77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77" s="18" t="str">
        <f>IF(COUNT(initialScan[[#This Row],[Unit test coverage]:[No of lines]])=2,initialScan[[#This Row],[Unit test coverage]]*initialScan[[#This Row],[No of lines]],"")</f>
        <v/>
      </c>
      <c r="AD77" s="18" t="str">
        <f>IF(COUNT(initialScan[[#This Row],[Duplication %]],initialScan[[#This Row],[No of lines]])=2,initialScan[[#This Row],[No of lines]]*initialScan[[#This Row],[Duplication %]],"")</f>
        <v/>
      </c>
      <c r="AE77" s="18" t="str">
        <f>IF(COUNT(initialScan[[#This Row],[Comments (%)]],initialScan[[#This Row],[No of lines]])=2,initialScan[[#This Row],[No of lines]]*initialScan[[#This Row],[Comments (%)]],"")</f>
        <v/>
      </c>
    </row>
    <row r="78" spans="1:31" x14ac:dyDescent="0.35">
      <c r="A78" s="18">
        <v>76</v>
      </c>
      <c r="B78" s="19"/>
      <c r="C78" s="19"/>
      <c r="D78" s="19"/>
      <c r="E78" s="18"/>
      <c r="F78" s="20"/>
      <c r="G78" s="21"/>
      <c r="H78" s="19"/>
      <c r="I78" s="18"/>
      <c r="J78" s="18"/>
      <c r="K78" s="20"/>
      <c r="L78" s="20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9"/>
      <c r="AB78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78" s="18" t="str">
        <f>IF(COUNT(initialScan[[#This Row],[Unit test coverage]:[No of lines]])=2,initialScan[[#This Row],[Unit test coverage]]*initialScan[[#This Row],[No of lines]],"")</f>
        <v/>
      </c>
      <c r="AD78" s="18" t="str">
        <f>IF(COUNT(initialScan[[#This Row],[Duplication %]],initialScan[[#This Row],[No of lines]])=2,initialScan[[#This Row],[No of lines]]*initialScan[[#This Row],[Duplication %]],"")</f>
        <v/>
      </c>
      <c r="AE78" s="18" t="str">
        <f>IF(COUNT(initialScan[[#This Row],[Comments (%)]],initialScan[[#This Row],[No of lines]])=2,initialScan[[#This Row],[No of lines]]*initialScan[[#This Row],[Comments (%)]],"")</f>
        <v/>
      </c>
    </row>
    <row r="79" spans="1:31" x14ac:dyDescent="0.35">
      <c r="A79" s="18">
        <v>77</v>
      </c>
      <c r="B79" s="19"/>
      <c r="C79" s="19"/>
      <c r="D79" s="19"/>
      <c r="E79" s="18"/>
      <c r="F79" s="20"/>
      <c r="G79" s="21"/>
      <c r="H79" s="19"/>
      <c r="I79" s="18"/>
      <c r="J79" s="18"/>
      <c r="K79" s="20"/>
      <c r="L79" s="20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9"/>
      <c r="AB79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79" s="18" t="str">
        <f>IF(COUNT(initialScan[[#This Row],[Unit test coverage]:[No of lines]])=2,initialScan[[#This Row],[Unit test coverage]]*initialScan[[#This Row],[No of lines]],"")</f>
        <v/>
      </c>
      <c r="AD79" s="18" t="str">
        <f>IF(COUNT(initialScan[[#This Row],[Duplication %]],initialScan[[#This Row],[No of lines]])=2,initialScan[[#This Row],[No of lines]]*initialScan[[#This Row],[Duplication %]],"")</f>
        <v/>
      </c>
      <c r="AE79" s="18" t="str">
        <f>IF(COUNT(initialScan[[#This Row],[Comments (%)]],initialScan[[#This Row],[No of lines]])=2,initialScan[[#This Row],[No of lines]]*initialScan[[#This Row],[Comments (%)]],"")</f>
        <v/>
      </c>
    </row>
    <row r="80" spans="1:31" x14ac:dyDescent="0.35">
      <c r="A80" s="18">
        <v>78</v>
      </c>
      <c r="B80" s="19"/>
      <c r="C80" s="19"/>
      <c r="D80" s="19"/>
      <c r="E80" s="18"/>
      <c r="F80" s="20"/>
      <c r="G80" s="21"/>
      <c r="H80" s="19"/>
      <c r="I80" s="18"/>
      <c r="J80" s="18"/>
      <c r="K80" s="20"/>
      <c r="L80" s="20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9"/>
      <c r="AB80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80" s="18" t="str">
        <f>IF(COUNT(initialScan[[#This Row],[Unit test coverage]:[No of lines]])=2,initialScan[[#This Row],[Unit test coverage]]*initialScan[[#This Row],[No of lines]],"")</f>
        <v/>
      </c>
      <c r="AD80" s="18" t="str">
        <f>IF(COUNT(initialScan[[#This Row],[Duplication %]],initialScan[[#This Row],[No of lines]])=2,initialScan[[#This Row],[No of lines]]*initialScan[[#This Row],[Duplication %]],"")</f>
        <v/>
      </c>
      <c r="AE80" s="18" t="str">
        <f>IF(COUNT(initialScan[[#This Row],[Comments (%)]],initialScan[[#This Row],[No of lines]])=2,initialScan[[#This Row],[No of lines]]*initialScan[[#This Row],[Comments (%)]],"")</f>
        <v/>
      </c>
    </row>
    <row r="81" spans="1:31" x14ac:dyDescent="0.35">
      <c r="A81" s="18">
        <v>79</v>
      </c>
      <c r="B81" s="19"/>
      <c r="C81" s="19"/>
      <c r="D81" s="19"/>
      <c r="E81" s="18"/>
      <c r="F81" s="20"/>
      <c r="G81" s="21"/>
      <c r="H81" s="19"/>
      <c r="I81" s="18"/>
      <c r="J81" s="18"/>
      <c r="K81" s="20"/>
      <c r="L81" s="20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9"/>
      <c r="AB81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81" s="18" t="str">
        <f>IF(COUNT(initialScan[[#This Row],[Unit test coverage]:[No of lines]])=2,initialScan[[#This Row],[Unit test coverage]]*initialScan[[#This Row],[No of lines]],"")</f>
        <v/>
      </c>
      <c r="AD81" s="18" t="str">
        <f>IF(COUNT(initialScan[[#This Row],[Duplication %]],initialScan[[#This Row],[No of lines]])=2,initialScan[[#This Row],[No of lines]]*initialScan[[#This Row],[Duplication %]],"")</f>
        <v/>
      </c>
      <c r="AE81" s="18" t="str">
        <f>IF(COUNT(initialScan[[#This Row],[Comments (%)]],initialScan[[#This Row],[No of lines]])=2,initialScan[[#This Row],[No of lines]]*initialScan[[#This Row],[Comments (%)]],"")</f>
        <v/>
      </c>
    </row>
    <row r="82" spans="1:31" x14ac:dyDescent="0.35">
      <c r="A82" s="18">
        <v>80</v>
      </c>
      <c r="B82" s="19"/>
      <c r="C82" s="19"/>
      <c r="D82" s="19"/>
      <c r="E82" s="18"/>
      <c r="F82" s="20"/>
      <c r="G82" s="21"/>
      <c r="H82" s="19"/>
      <c r="I82" s="18"/>
      <c r="J82" s="18"/>
      <c r="K82" s="20"/>
      <c r="L82" s="20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9"/>
      <c r="AB82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82" s="18" t="str">
        <f>IF(COUNT(initialScan[[#This Row],[Unit test coverage]:[No of lines]])=2,initialScan[[#This Row],[Unit test coverage]]*initialScan[[#This Row],[No of lines]],"")</f>
        <v/>
      </c>
      <c r="AD82" s="18" t="str">
        <f>IF(COUNT(initialScan[[#This Row],[Duplication %]],initialScan[[#This Row],[No of lines]])=2,initialScan[[#This Row],[No of lines]]*initialScan[[#This Row],[Duplication %]],"")</f>
        <v/>
      </c>
      <c r="AE82" s="18" t="str">
        <f>IF(COUNT(initialScan[[#This Row],[Comments (%)]],initialScan[[#This Row],[No of lines]])=2,initialScan[[#This Row],[No of lines]]*initialScan[[#This Row],[Comments (%)]],"")</f>
        <v/>
      </c>
    </row>
    <row r="83" spans="1:31" x14ac:dyDescent="0.35">
      <c r="A83" s="18">
        <v>81</v>
      </c>
      <c r="B83" s="19"/>
      <c r="C83" s="19"/>
      <c r="D83" s="19"/>
      <c r="E83" s="18"/>
      <c r="F83" s="20"/>
      <c r="G83" s="21"/>
      <c r="H83" s="19"/>
      <c r="I83" s="18"/>
      <c r="J83" s="18"/>
      <c r="K83" s="20"/>
      <c r="L83" s="20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9"/>
      <c r="AB83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83" s="18" t="str">
        <f>IF(COUNT(initialScan[[#This Row],[Unit test coverage]:[No of lines]])=2,initialScan[[#This Row],[Unit test coverage]]*initialScan[[#This Row],[No of lines]],"")</f>
        <v/>
      </c>
      <c r="AD83" s="18" t="str">
        <f>IF(COUNT(initialScan[[#This Row],[Duplication %]],initialScan[[#This Row],[No of lines]])=2,initialScan[[#This Row],[No of lines]]*initialScan[[#This Row],[Duplication %]],"")</f>
        <v/>
      </c>
      <c r="AE83" s="18" t="str">
        <f>IF(COUNT(initialScan[[#This Row],[Comments (%)]],initialScan[[#This Row],[No of lines]])=2,initialScan[[#This Row],[No of lines]]*initialScan[[#This Row],[Comments (%)]],"")</f>
        <v/>
      </c>
    </row>
    <row r="84" spans="1:31" x14ac:dyDescent="0.35">
      <c r="A84" s="18">
        <v>82</v>
      </c>
      <c r="B84" s="19"/>
      <c r="C84" s="19"/>
      <c r="D84" s="19"/>
      <c r="E84" s="18"/>
      <c r="F84" s="20"/>
      <c r="G84" s="21"/>
      <c r="H84" s="19"/>
      <c r="I84" s="18"/>
      <c r="J84" s="18"/>
      <c r="K84" s="20"/>
      <c r="L84" s="20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9"/>
      <c r="AB84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84" s="18" t="str">
        <f>IF(COUNT(initialScan[[#This Row],[Unit test coverage]:[No of lines]])=2,initialScan[[#This Row],[Unit test coverage]]*initialScan[[#This Row],[No of lines]],"")</f>
        <v/>
      </c>
      <c r="AD84" s="18" t="str">
        <f>IF(COUNT(initialScan[[#This Row],[Duplication %]],initialScan[[#This Row],[No of lines]])=2,initialScan[[#This Row],[No of lines]]*initialScan[[#This Row],[Duplication %]],"")</f>
        <v/>
      </c>
      <c r="AE84" s="18" t="str">
        <f>IF(COUNT(initialScan[[#This Row],[Comments (%)]],initialScan[[#This Row],[No of lines]])=2,initialScan[[#This Row],[No of lines]]*initialScan[[#This Row],[Comments (%)]],"")</f>
        <v/>
      </c>
    </row>
    <row r="85" spans="1:31" x14ac:dyDescent="0.35">
      <c r="A85" s="18">
        <v>83</v>
      </c>
      <c r="B85" s="19"/>
      <c r="C85" s="19"/>
      <c r="D85" s="19"/>
      <c r="E85" s="18"/>
      <c r="F85" s="20"/>
      <c r="G85" s="21"/>
      <c r="H85" s="19"/>
      <c r="I85" s="18"/>
      <c r="J85" s="18"/>
      <c r="K85" s="20"/>
      <c r="L85" s="20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9"/>
      <c r="AB85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85" s="18" t="str">
        <f>IF(COUNT(initialScan[[#This Row],[Unit test coverage]:[No of lines]])=2,initialScan[[#This Row],[Unit test coverage]]*initialScan[[#This Row],[No of lines]],"")</f>
        <v/>
      </c>
      <c r="AD85" s="18" t="str">
        <f>IF(COUNT(initialScan[[#This Row],[Duplication %]],initialScan[[#This Row],[No of lines]])=2,initialScan[[#This Row],[No of lines]]*initialScan[[#This Row],[Duplication %]],"")</f>
        <v/>
      </c>
      <c r="AE85" s="18" t="str">
        <f>IF(COUNT(initialScan[[#This Row],[Comments (%)]],initialScan[[#This Row],[No of lines]])=2,initialScan[[#This Row],[No of lines]]*initialScan[[#This Row],[Comments (%)]],"")</f>
        <v/>
      </c>
    </row>
    <row r="86" spans="1:31" x14ac:dyDescent="0.35">
      <c r="A86" s="18">
        <v>84</v>
      </c>
      <c r="B86" s="19"/>
      <c r="C86" s="19"/>
      <c r="D86" s="19"/>
      <c r="E86" s="18"/>
      <c r="F86" s="20"/>
      <c r="G86" s="21"/>
      <c r="H86" s="19"/>
      <c r="I86" s="18"/>
      <c r="J86" s="18"/>
      <c r="K86" s="20"/>
      <c r="L86" s="20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9"/>
      <c r="AB86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86" s="18" t="str">
        <f>IF(COUNT(initialScan[[#This Row],[Unit test coverage]:[No of lines]])=2,initialScan[[#This Row],[Unit test coverage]]*initialScan[[#This Row],[No of lines]],"")</f>
        <v/>
      </c>
      <c r="AD86" s="18" t="str">
        <f>IF(COUNT(initialScan[[#This Row],[Duplication %]],initialScan[[#This Row],[No of lines]])=2,initialScan[[#This Row],[No of lines]]*initialScan[[#This Row],[Duplication %]],"")</f>
        <v/>
      </c>
      <c r="AE86" s="18" t="str">
        <f>IF(COUNT(initialScan[[#This Row],[Comments (%)]],initialScan[[#This Row],[No of lines]])=2,initialScan[[#This Row],[No of lines]]*initialScan[[#This Row],[Comments (%)]],"")</f>
        <v/>
      </c>
    </row>
    <row r="87" spans="1:31" x14ac:dyDescent="0.35">
      <c r="A87" s="18">
        <v>85</v>
      </c>
      <c r="B87" s="19"/>
      <c r="C87" s="19"/>
      <c r="D87" s="19"/>
      <c r="E87" s="18"/>
      <c r="F87" s="20"/>
      <c r="G87" s="21"/>
      <c r="H87" s="19"/>
      <c r="I87" s="18"/>
      <c r="J87" s="18"/>
      <c r="K87" s="20"/>
      <c r="L87" s="20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9"/>
      <c r="AB87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87" s="18" t="str">
        <f>IF(COUNT(initialScan[[#This Row],[Unit test coverage]:[No of lines]])=2,initialScan[[#This Row],[Unit test coverage]]*initialScan[[#This Row],[No of lines]],"")</f>
        <v/>
      </c>
      <c r="AD87" s="18" t="str">
        <f>IF(COUNT(initialScan[[#This Row],[Duplication %]],initialScan[[#This Row],[No of lines]])=2,initialScan[[#This Row],[No of lines]]*initialScan[[#This Row],[Duplication %]],"")</f>
        <v/>
      </c>
      <c r="AE87" s="18" t="str">
        <f>IF(COUNT(initialScan[[#This Row],[Comments (%)]],initialScan[[#This Row],[No of lines]])=2,initialScan[[#This Row],[No of lines]]*initialScan[[#This Row],[Comments (%)]],"")</f>
        <v/>
      </c>
    </row>
    <row r="88" spans="1:31" x14ac:dyDescent="0.35">
      <c r="A88" s="18">
        <v>86</v>
      </c>
      <c r="B88" s="19"/>
      <c r="C88" s="19"/>
      <c r="D88" s="19"/>
      <c r="E88" s="18"/>
      <c r="F88" s="20"/>
      <c r="G88" s="21"/>
      <c r="H88" s="19"/>
      <c r="I88" s="18"/>
      <c r="J88" s="18"/>
      <c r="K88" s="20"/>
      <c r="L88" s="20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9"/>
      <c r="AB88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88" s="18" t="str">
        <f>IF(COUNT(initialScan[[#This Row],[Unit test coverage]:[No of lines]])=2,initialScan[[#This Row],[Unit test coverage]]*initialScan[[#This Row],[No of lines]],"")</f>
        <v/>
      </c>
      <c r="AD88" s="18" t="str">
        <f>IF(COUNT(initialScan[[#This Row],[Duplication %]],initialScan[[#This Row],[No of lines]])=2,initialScan[[#This Row],[No of lines]]*initialScan[[#This Row],[Duplication %]],"")</f>
        <v/>
      </c>
      <c r="AE88" s="18" t="str">
        <f>IF(COUNT(initialScan[[#This Row],[Comments (%)]],initialScan[[#This Row],[No of lines]])=2,initialScan[[#This Row],[No of lines]]*initialScan[[#This Row],[Comments (%)]],"")</f>
        <v/>
      </c>
    </row>
    <row r="89" spans="1:31" x14ac:dyDescent="0.35">
      <c r="A89" s="18">
        <v>87</v>
      </c>
      <c r="B89" s="19"/>
      <c r="C89" s="19"/>
      <c r="D89" s="19"/>
      <c r="E89" s="18"/>
      <c r="F89" s="20"/>
      <c r="G89" s="21"/>
      <c r="H89" s="19"/>
      <c r="I89" s="18"/>
      <c r="J89" s="18"/>
      <c r="K89" s="20"/>
      <c r="L89" s="20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9"/>
      <c r="AB89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89" s="18" t="str">
        <f>IF(COUNT(initialScan[[#This Row],[Unit test coverage]:[No of lines]])=2,initialScan[[#This Row],[Unit test coverage]]*initialScan[[#This Row],[No of lines]],"")</f>
        <v/>
      </c>
      <c r="AD89" s="18" t="str">
        <f>IF(COUNT(initialScan[[#This Row],[Duplication %]],initialScan[[#This Row],[No of lines]])=2,initialScan[[#This Row],[No of lines]]*initialScan[[#This Row],[Duplication %]],"")</f>
        <v/>
      </c>
      <c r="AE89" s="18" t="str">
        <f>IF(COUNT(initialScan[[#This Row],[Comments (%)]],initialScan[[#This Row],[No of lines]])=2,initialScan[[#This Row],[No of lines]]*initialScan[[#This Row],[Comments (%)]],"")</f>
        <v/>
      </c>
    </row>
    <row r="90" spans="1:31" x14ac:dyDescent="0.35">
      <c r="A90" s="18">
        <v>88</v>
      </c>
      <c r="B90" s="19"/>
      <c r="C90" s="19"/>
      <c r="D90" s="19"/>
      <c r="E90" s="18"/>
      <c r="F90" s="20"/>
      <c r="G90" s="21"/>
      <c r="H90" s="19"/>
      <c r="I90" s="18"/>
      <c r="J90" s="18"/>
      <c r="K90" s="20"/>
      <c r="L90" s="20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9"/>
      <c r="AB90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90" s="18" t="str">
        <f>IF(COUNT(initialScan[[#This Row],[Unit test coverage]:[No of lines]])=2,initialScan[[#This Row],[Unit test coverage]]*initialScan[[#This Row],[No of lines]],"")</f>
        <v/>
      </c>
      <c r="AD90" s="18" t="str">
        <f>IF(COUNT(initialScan[[#This Row],[Duplication %]],initialScan[[#This Row],[No of lines]])=2,initialScan[[#This Row],[No of lines]]*initialScan[[#This Row],[Duplication %]],"")</f>
        <v/>
      </c>
      <c r="AE90" s="18" t="str">
        <f>IF(COUNT(initialScan[[#This Row],[Comments (%)]],initialScan[[#This Row],[No of lines]])=2,initialScan[[#This Row],[No of lines]]*initialScan[[#This Row],[Comments (%)]],"")</f>
        <v/>
      </c>
    </row>
    <row r="91" spans="1:31" x14ac:dyDescent="0.35">
      <c r="A91" s="18">
        <v>89</v>
      </c>
      <c r="B91" s="19"/>
      <c r="C91" s="19"/>
      <c r="D91" s="19"/>
      <c r="E91" s="18"/>
      <c r="F91" s="20"/>
      <c r="G91" s="21"/>
      <c r="H91" s="19"/>
      <c r="I91" s="18"/>
      <c r="J91" s="18"/>
      <c r="K91" s="20"/>
      <c r="L91" s="20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9"/>
      <c r="AB91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91" s="18" t="str">
        <f>IF(COUNT(initialScan[[#This Row],[Unit test coverage]:[No of lines]])=2,initialScan[[#This Row],[Unit test coverage]]*initialScan[[#This Row],[No of lines]],"")</f>
        <v/>
      </c>
      <c r="AD91" s="18" t="str">
        <f>IF(COUNT(initialScan[[#This Row],[Duplication %]],initialScan[[#This Row],[No of lines]])=2,initialScan[[#This Row],[No of lines]]*initialScan[[#This Row],[Duplication %]],"")</f>
        <v/>
      </c>
      <c r="AE91" s="18" t="str">
        <f>IF(COUNT(initialScan[[#This Row],[Comments (%)]],initialScan[[#This Row],[No of lines]])=2,initialScan[[#This Row],[No of lines]]*initialScan[[#This Row],[Comments (%)]],"")</f>
        <v/>
      </c>
    </row>
    <row r="92" spans="1:31" x14ac:dyDescent="0.35">
      <c r="A92" s="18">
        <v>90</v>
      </c>
      <c r="B92" s="19"/>
      <c r="C92" s="19"/>
      <c r="D92" s="19"/>
      <c r="E92" s="18"/>
      <c r="F92" s="20"/>
      <c r="G92" s="21"/>
      <c r="H92" s="19"/>
      <c r="I92" s="18"/>
      <c r="J92" s="18"/>
      <c r="K92" s="20"/>
      <c r="L92" s="20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9"/>
      <c r="AB92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92" s="18" t="str">
        <f>IF(COUNT(initialScan[[#This Row],[Unit test coverage]:[No of lines]])=2,initialScan[[#This Row],[Unit test coverage]]*initialScan[[#This Row],[No of lines]],"")</f>
        <v/>
      </c>
      <c r="AD92" s="18" t="str">
        <f>IF(COUNT(initialScan[[#This Row],[Duplication %]],initialScan[[#This Row],[No of lines]])=2,initialScan[[#This Row],[No of lines]]*initialScan[[#This Row],[Duplication %]],"")</f>
        <v/>
      </c>
      <c r="AE92" s="18" t="str">
        <f>IF(COUNT(initialScan[[#This Row],[Comments (%)]],initialScan[[#This Row],[No of lines]])=2,initialScan[[#This Row],[No of lines]]*initialScan[[#This Row],[Comments (%)]],"")</f>
        <v/>
      </c>
    </row>
    <row r="93" spans="1:31" x14ac:dyDescent="0.35">
      <c r="A93" s="18">
        <v>91</v>
      </c>
      <c r="B93" s="19"/>
      <c r="C93" s="19"/>
      <c r="D93" s="19"/>
      <c r="E93" s="18"/>
      <c r="F93" s="20"/>
      <c r="G93" s="21"/>
      <c r="H93" s="19"/>
      <c r="I93" s="18"/>
      <c r="J93" s="18"/>
      <c r="K93" s="20"/>
      <c r="L93" s="20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9"/>
      <c r="AB93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93" s="18" t="str">
        <f>IF(COUNT(initialScan[[#This Row],[Unit test coverage]:[No of lines]])=2,initialScan[[#This Row],[Unit test coverage]]*initialScan[[#This Row],[No of lines]],"")</f>
        <v/>
      </c>
      <c r="AD93" s="18" t="str">
        <f>IF(COUNT(initialScan[[#This Row],[Duplication %]],initialScan[[#This Row],[No of lines]])=2,initialScan[[#This Row],[No of lines]]*initialScan[[#This Row],[Duplication %]],"")</f>
        <v/>
      </c>
      <c r="AE93" s="18" t="str">
        <f>IF(COUNT(initialScan[[#This Row],[Comments (%)]],initialScan[[#This Row],[No of lines]])=2,initialScan[[#This Row],[No of lines]]*initialScan[[#This Row],[Comments (%)]],"")</f>
        <v/>
      </c>
    </row>
    <row r="94" spans="1:31" x14ac:dyDescent="0.35">
      <c r="A94" s="18">
        <v>92</v>
      </c>
      <c r="B94" s="19"/>
      <c r="C94" s="19"/>
      <c r="D94" s="19"/>
      <c r="E94" s="18"/>
      <c r="F94" s="20"/>
      <c r="G94" s="21"/>
      <c r="H94" s="19"/>
      <c r="I94" s="18"/>
      <c r="J94" s="18"/>
      <c r="K94" s="20"/>
      <c r="L94" s="20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9"/>
      <c r="AB94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94" s="18" t="str">
        <f>IF(COUNT(initialScan[[#This Row],[Unit test coverage]:[No of lines]])=2,initialScan[[#This Row],[Unit test coverage]]*initialScan[[#This Row],[No of lines]],"")</f>
        <v/>
      </c>
      <c r="AD94" s="18" t="str">
        <f>IF(COUNT(initialScan[[#This Row],[Duplication %]],initialScan[[#This Row],[No of lines]])=2,initialScan[[#This Row],[No of lines]]*initialScan[[#This Row],[Duplication %]],"")</f>
        <v/>
      </c>
      <c r="AE94" s="18" t="str">
        <f>IF(COUNT(initialScan[[#This Row],[Comments (%)]],initialScan[[#This Row],[No of lines]])=2,initialScan[[#This Row],[No of lines]]*initialScan[[#This Row],[Comments (%)]],"")</f>
        <v/>
      </c>
    </row>
    <row r="95" spans="1:31" x14ac:dyDescent="0.35">
      <c r="A95" s="18">
        <v>93</v>
      </c>
      <c r="B95" s="19"/>
      <c r="C95" s="19"/>
      <c r="D95" s="19"/>
      <c r="E95" s="18"/>
      <c r="F95" s="20"/>
      <c r="G95" s="21"/>
      <c r="H95" s="19"/>
      <c r="I95" s="18"/>
      <c r="J95" s="18"/>
      <c r="K95" s="20"/>
      <c r="L95" s="20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9"/>
      <c r="AB95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95" s="18" t="str">
        <f>IF(COUNT(initialScan[[#This Row],[Unit test coverage]:[No of lines]])=2,initialScan[[#This Row],[Unit test coverage]]*initialScan[[#This Row],[No of lines]],"")</f>
        <v/>
      </c>
      <c r="AD95" s="18" t="str">
        <f>IF(COUNT(initialScan[[#This Row],[Duplication %]],initialScan[[#This Row],[No of lines]])=2,initialScan[[#This Row],[No of lines]]*initialScan[[#This Row],[Duplication %]],"")</f>
        <v/>
      </c>
      <c r="AE95" s="18" t="str">
        <f>IF(COUNT(initialScan[[#This Row],[Comments (%)]],initialScan[[#This Row],[No of lines]])=2,initialScan[[#This Row],[No of lines]]*initialScan[[#This Row],[Comments (%)]],"")</f>
        <v/>
      </c>
    </row>
    <row r="96" spans="1:31" x14ac:dyDescent="0.35">
      <c r="A96" s="18">
        <v>94</v>
      </c>
      <c r="B96" s="19"/>
      <c r="C96" s="19"/>
      <c r="D96" s="19"/>
      <c r="E96" s="18"/>
      <c r="F96" s="20"/>
      <c r="G96" s="21"/>
      <c r="H96" s="19"/>
      <c r="I96" s="18"/>
      <c r="J96" s="18"/>
      <c r="K96" s="20"/>
      <c r="L96" s="20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9"/>
      <c r="AB96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96" s="18" t="str">
        <f>IF(COUNT(initialScan[[#This Row],[Unit test coverage]:[No of lines]])=2,initialScan[[#This Row],[Unit test coverage]]*initialScan[[#This Row],[No of lines]],"")</f>
        <v/>
      </c>
      <c r="AD96" s="18" t="str">
        <f>IF(COUNT(initialScan[[#This Row],[Duplication %]],initialScan[[#This Row],[No of lines]])=2,initialScan[[#This Row],[No of lines]]*initialScan[[#This Row],[Duplication %]],"")</f>
        <v/>
      </c>
      <c r="AE96" s="18" t="str">
        <f>IF(COUNT(initialScan[[#This Row],[Comments (%)]],initialScan[[#This Row],[No of lines]])=2,initialScan[[#This Row],[No of lines]]*initialScan[[#This Row],[Comments (%)]],"")</f>
        <v/>
      </c>
    </row>
    <row r="97" spans="1:31" x14ac:dyDescent="0.35">
      <c r="A97" s="18">
        <v>95</v>
      </c>
      <c r="B97" s="19"/>
      <c r="C97" s="19"/>
      <c r="D97" s="19"/>
      <c r="E97" s="18"/>
      <c r="F97" s="20"/>
      <c r="G97" s="21"/>
      <c r="H97" s="19"/>
      <c r="I97" s="18"/>
      <c r="J97" s="18"/>
      <c r="K97" s="20"/>
      <c r="L97" s="20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9"/>
      <c r="AB97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97" s="18" t="str">
        <f>IF(COUNT(initialScan[[#This Row],[Unit test coverage]:[No of lines]])=2,initialScan[[#This Row],[Unit test coverage]]*initialScan[[#This Row],[No of lines]],"")</f>
        <v/>
      </c>
      <c r="AD97" s="18" t="str">
        <f>IF(COUNT(initialScan[[#This Row],[Duplication %]],initialScan[[#This Row],[No of lines]])=2,initialScan[[#This Row],[No of lines]]*initialScan[[#This Row],[Duplication %]],"")</f>
        <v/>
      </c>
      <c r="AE97" s="18" t="str">
        <f>IF(COUNT(initialScan[[#This Row],[Comments (%)]],initialScan[[#This Row],[No of lines]])=2,initialScan[[#This Row],[No of lines]]*initialScan[[#This Row],[Comments (%)]],"")</f>
        <v/>
      </c>
    </row>
    <row r="98" spans="1:31" x14ac:dyDescent="0.35">
      <c r="A98" s="18">
        <v>96</v>
      </c>
      <c r="B98" s="19"/>
      <c r="C98" s="19"/>
      <c r="D98" s="19"/>
      <c r="E98" s="18"/>
      <c r="F98" s="20"/>
      <c r="G98" s="21"/>
      <c r="H98" s="19"/>
      <c r="I98" s="18"/>
      <c r="J98" s="18"/>
      <c r="K98" s="20"/>
      <c r="L98" s="20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9"/>
      <c r="AB98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98" s="18" t="str">
        <f>IF(COUNT(initialScan[[#This Row],[Unit test coverage]:[No of lines]])=2,initialScan[[#This Row],[Unit test coverage]]*initialScan[[#This Row],[No of lines]],"")</f>
        <v/>
      </c>
      <c r="AD98" s="18" t="str">
        <f>IF(COUNT(initialScan[[#This Row],[Duplication %]],initialScan[[#This Row],[No of lines]])=2,initialScan[[#This Row],[No of lines]]*initialScan[[#This Row],[Duplication %]],"")</f>
        <v/>
      </c>
      <c r="AE98" s="18" t="str">
        <f>IF(COUNT(initialScan[[#This Row],[Comments (%)]],initialScan[[#This Row],[No of lines]])=2,initialScan[[#This Row],[No of lines]]*initialScan[[#This Row],[Comments (%)]],"")</f>
        <v/>
      </c>
    </row>
    <row r="99" spans="1:31" x14ac:dyDescent="0.35">
      <c r="A99" s="18">
        <v>97</v>
      </c>
      <c r="B99" s="19"/>
      <c r="C99" s="19"/>
      <c r="D99" s="19"/>
      <c r="E99" s="18"/>
      <c r="F99" s="20"/>
      <c r="G99" s="21"/>
      <c r="H99" s="19"/>
      <c r="I99" s="18"/>
      <c r="J99" s="18"/>
      <c r="K99" s="20"/>
      <c r="L99" s="20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9"/>
      <c r="AB99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99" s="18" t="str">
        <f>IF(COUNT(initialScan[[#This Row],[Unit test coverage]:[No of lines]])=2,initialScan[[#This Row],[Unit test coverage]]*initialScan[[#This Row],[No of lines]],"")</f>
        <v/>
      </c>
      <c r="AD99" s="18" t="str">
        <f>IF(COUNT(initialScan[[#This Row],[Duplication %]],initialScan[[#This Row],[No of lines]])=2,initialScan[[#This Row],[No of lines]]*initialScan[[#This Row],[Duplication %]],"")</f>
        <v/>
      </c>
      <c r="AE99" s="18" t="str">
        <f>IF(COUNT(initialScan[[#This Row],[Comments (%)]],initialScan[[#This Row],[No of lines]])=2,initialScan[[#This Row],[No of lines]]*initialScan[[#This Row],[Comments (%)]],"")</f>
        <v/>
      </c>
    </row>
    <row r="100" spans="1:31" x14ac:dyDescent="0.35">
      <c r="A100" s="18">
        <v>98</v>
      </c>
      <c r="B100" s="19"/>
      <c r="C100" s="19"/>
      <c r="D100" s="19"/>
      <c r="E100" s="18"/>
      <c r="F100" s="20"/>
      <c r="G100" s="21"/>
      <c r="H100" s="19"/>
      <c r="I100" s="18"/>
      <c r="J100" s="18"/>
      <c r="K100" s="20"/>
      <c r="L100" s="20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9"/>
      <c r="AB100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100" s="18" t="str">
        <f>IF(COUNT(initialScan[[#This Row],[Unit test coverage]:[No of lines]])=2,initialScan[[#This Row],[Unit test coverage]]*initialScan[[#This Row],[No of lines]],"")</f>
        <v/>
      </c>
      <c r="AD100" s="18" t="str">
        <f>IF(COUNT(initialScan[[#This Row],[Duplication %]],initialScan[[#This Row],[No of lines]])=2,initialScan[[#This Row],[No of lines]]*initialScan[[#This Row],[Duplication %]],"")</f>
        <v/>
      </c>
      <c r="AE100" s="18" t="str">
        <f>IF(COUNT(initialScan[[#This Row],[Comments (%)]],initialScan[[#This Row],[No of lines]])=2,initialScan[[#This Row],[No of lines]]*initialScan[[#This Row],[Comments (%)]],"")</f>
        <v/>
      </c>
    </row>
    <row r="101" spans="1:31" x14ac:dyDescent="0.35">
      <c r="A101" s="18">
        <v>99</v>
      </c>
      <c r="B101" s="19"/>
      <c r="C101" s="19"/>
      <c r="D101" s="19"/>
      <c r="E101" s="18"/>
      <c r="F101" s="20"/>
      <c r="G101" s="21"/>
      <c r="H101" s="19"/>
      <c r="I101" s="18"/>
      <c r="J101" s="18"/>
      <c r="K101" s="20"/>
      <c r="L101" s="20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9"/>
      <c r="AB101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101" s="18" t="str">
        <f>IF(COUNT(initialScan[[#This Row],[Unit test coverage]:[No of lines]])=2,initialScan[[#This Row],[Unit test coverage]]*initialScan[[#This Row],[No of lines]],"")</f>
        <v/>
      </c>
      <c r="AD101" s="18" t="str">
        <f>IF(COUNT(initialScan[[#This Row],[Duplication %]],initialScan[[#This Row],[No of lines]])=2,initialScan[[#This Row],[No of lines]]*initialScan[[#This Row],[Duplication %]],"")</f>
        <v/>
      </c>
      <c r="AE101" s="18" t="str">
        <f>IF(COUNT(initialScan[[#This Row],[Comments (%)]],initialScan[[#This Row],[No of lines]])=2,initialScan[[#This Row],[No of lines]]*initialScan[[#This Row],[Comments (%)]],"")</f>
        <v/>
      </c>
    </row>
    <row r="102" spans="1:31" x14ac:dyDescent="0.35">
      <c r="A102" s="18">
        <v>100</v>
      </c>
      <c r="B102" s="19"/>
      <c r="C102" s="19"/>
      <c r="D102" s="19"/>
      <c r="E102" s="18"/>
      <c r="F102" s="20"/>
      <c r="G102" s="21"/>
      <c r="H102" s="19"/>
      <c r="I102" s="18"/>
      <c r="J102" s="18"/>
      <c r="K102" s="20"/>
      <c r="L102" s="20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9"/>
      <c r="AB102" s="19" t="str">
        <f>IF(COUNTA(initialScan[[#This Row],[Repository Name]]),IF(OR(initialScan[[#This Row],[Unit tests present?]]="No",initialScan[[#This Row],[Unit tests present?]]="NA"),(COUNTBLANK(initialScan[[#This Row],[Repository Name]:[Unit tests present?]])+COUNTBLANK(initialScan[[#This Row],[No of lines]:[Reliability Bug (Minor)]]))=0,COUNTBLANK(initialScan[[#This Row],[Repository Name]:[Reliability Bug (Minor)]])=0),"")</f>
        <v/>
      </c>
      <c r="AC102" s="18" t="str">
        <f>IF(COUNT(initialScan[[#This Row],[Unit test coverage]:[No of lines]])=2,initialScan[[#This Row],[Unit test coverage]]*initialScan[[#This Row],[No of lines]],"")</f>
        <v/>
      </c>
      <c r="AD102" s="18" t="str">
        <f>IF(COUNT(initialScan[[#This Row],[Duplication %]],initialScan[[#This Row],[No of lines]])=2,initialScan[[#This Row],[No of lines]]*initialScan[[#This Row],[Duplication %]],"")</f>
        <v/>
      </c>
      <c r="AE102" s="18" t="str">
        <f>IF(COUNT(initialScan[[#This Row],[Comments (%)]],initialScan[[#This Row],[No of lines]])=2,initialScan[[#This Row],[No of lines]]*initialScan[[#This Row],[Comments (%)]],"")</f>
        <v/>
      </c>
    </row>
  </sheetData>
  <sheetProtection algorithmName="SHA-512" hashValue="mbndmkHxHJvWzJRVcMP6q8VOMHlT/bU7+i2ePDbTCUnuDfmIYsTCtjh07JqWuD7N5gtXKf77RfCcgqSfz/U3gA==" saltValue="cwq9E+Y2xBwKS/QuMjFk1g==" spinCount="100000" sheet="1" objects="1" scenarios="1"/>
  <protectedRanges>
    <protectedRange sqref="B3:AA102" name="initialScan"/>
  </protectedRanges>
  <conditionalFormatting sqref="AB3:AB102">
    <cfRule type="cellIs" dxfId="126" priority="2" operator="equal">
      <formula>FALSE</formula>
    </cfRule>
  </conditionalFormatting>
  <conditionalFormatting sqref="B4:B102">
    <cfRule type="duplicateValues" dxfId="125" priority="1"/>
  </conditionalFormatting>
  <dataValidations count="4">
    <dataValidation type="list" allowBlank="1" showInputMessage="1" showErrorMessage="1" sqref="D3:D102" xr:uid="{830A730F-D2B7-4A5B-B07C-DC7B6C713615}">
      <formula1>"Yes,No"</formula1>
    </dataValidation>
    <dataValidation type="list" allowBlank="1" showInputMessage="1" showErrorMessage="1" sqref="I3:J102" xr:uid="{1DF39CF8-E969-4960-8CEA-78BC3FC78121}">
      <formula1>INDIRECT("score.lookUp[scores]")</formula1>
    </dataValidation>
    <dataValidation type="whole" operator="greaterThanOrEqual" allowBlank="1" sqref="M3:Z102" xr:uid="{21E7A8E1-38D8-4762-9EE3-42F0F6090A4C}">
      <formula1>0</formula1>
    </dataValidation>
    <dataValidation type="list" allowBlank="1" showInputMessage="1" showErrorMessage="1" sqref="E3:E102" xr:uid="{17670F9F-67FC-4293-9D37-4E4682FC455B}">
      <formula1>"Yes,No,NA"</formula1>
    </dataValidation>
  </dataValidation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BEECC8-617F-496F-9948-FD409ED35A0E}">
  <sheetPr codeName="Sheet4">
    <tabColor theme="5" tint="0.39997558519241921"/>
  </sheetPr>
  <dimension ref="A1:AE214"/>
  <sheetViews>
    <sheetView topLeftCell="A4" zoomScale="85" zoomScaleNormal="85" workbookViewId="0">
      <selection activeCell="T9" sqref="T9:T21"/>
    </sheetView>
  </sheetViews>
  <sheetFormatPr defaultColWidth="8.54296875" defaultRowHeight="12" x14ac:dyDescent="0.3"/>
  <cols>
    <col min="1" max="1" width="9.453125" style="57" bestFit="1" customWidth="1"/>
    <col min="2" max="2" width="34.1796875" style="57" customWidth="1"/>
    <col min="3" max="3" width="10.453125" style="57" customWidth="1"/>
    <col min="4" max="17" width="5.453125" style="57" customWidth="1"/>
    <col min="18" max="18" width="11.453125" style="46" bestFit="1" customWidth="1"/>
    <col min="19" max="19" width="11.453125" style="46" customWidth="1"/>
    <col min="20" max="21" width="10.54296875" style="46" bestFit="1" customWidth="1"/>
    <col min="22" max="22" width="8.54296875" style="46"/>
    <col min="23" max="23" width="23.81640625" style="46" bestFit="1" customWidth="1"/>
    <col min="24" max="24" width="11.81640625" style="46" customWidth="1"/>
    <col min="25" max="16384" width="8.54296875" style="46"/>
  </cols>
  <sheetData>
    <row r="1" spans="1:31" x14ac:dyDescent="0.3">
      <c r="A1" s="58" t="s">
        <v>7</v>
      </c>
      <c r="B1" s="99" t="str">
        <f>IF(COUNTA('Asset summary'!C6),'Asset summary'!C6,"")</f>
        <v>IPR000670</v>
      </c>
      <c r="C1" s="58" t="s">
        <v>63</v>
      </c>
      <c r="D1" s="158">
        <f>IF(ISBLANK('Asset summary'!C9),"",'Asset summary'!C9)</f>
        <v>2.1</v>
      </c>
      <c r="E1" s="159"/>
      <c r="F1" s="159"/>
      <c r="G1" s="159"/>
      <c r="H1" s="159"/>
      <c r="I1" s="160"/>
      <c r="J1" s="143" t="s">
        <v>64</v>
      </c>
      <c r="K1" s="143"/>
      <c r="L1" s="143"/>
      <c r="M1" s="143"/>
      <c r="N1" s="143"/>
      <c r="O1" s="143"/>
      <c r="P1" s="143"/>
      <c r="Q1" s="143"/>
      <c r="R1" s="144" t="s">
        <v>197</v>
      </c>
      <c r="S1" s="137"/>
      <c r="T1" s="145"/>
    </row>
    <row r="2" spans="1:31" ht="76" x14ac:dyDescent="0.3">
      <c r="A2" s="146" t="s">
        <v>2</v>
      </c>
      <c r="B2" s="148" t="str">
        <f>IF(COUNTA('Asset summary'!C5),'Asset summary'!C5,"")</f>
        <v>Cognizant® Integrated Quality Dashboard</v>
      </c>
      <c r="C2" s="148"/>
      <c r="D2" s="148"/>
      <c r="E2" s="148"/>
      <c r="F2" s="148"/>
      <c r="G2" s="148"/>
      <c r="H2" s="149"/>
      <c r="I2" s="149"/>
      <c r="J2" s="59" t="s">
        <v>65</v>
      </c>
      <c r="K2" s="59" t="s">
        <v>66</v>
      </c>
      <c r="L2" s="59" t="s">
        <v>67</v>
      </c>
      <c r="M2" s="59" t="s">
        <v>18</v>
      </c>
      <c r="N2" s="59" t="s">
        <v>21</v>
      </c>
      <c r="O2" s="59" t="s">
        <v>24</v>
      </c>
      <c r="P2" s="59" t="s">
        <v>25</v>
      </c>
      <c r="Q2" s="59" t="s">
        <v>27</v>
      </c>
      <c r="R2" s="152" t="s">
        <v>228</v>
      </c>
      <c r="S2" s="153"/>
      <c r="T2" s="154"/>
    </row>
    <row r="3" spans="1:31" ht="19" thickBot="1" x14ac:dyDescent="0.35">
      <c r="A3" s="147"/>
      <c r="B3" s="150"/>
      <c r="C3" s="150"/>
      <c r="D3" s="150"/>
      <c r="E3" s="150"/>
      <c r="F3" s="150"/>
      <c r="G3" s="150"/>
      <c r="H3" s="151"/>
      <c r="I3" s="151"/>
      <c r="J3" s="60" t="str">
        <f>'Asset summary'!$J6</f>
        <v>E</v>
      </c>
      <c r="K3" s="60" t="str">
        <f>'Asset summary'!$J7</f>
        <v>E</v>
      </c>
      <c r="L3" s="60" t="str">
        <f>'Asset summary'!$J8</f>
        <v>E</v>
      </c>
      <c r="M3" s="60" t="str">
        <f>'Asset summary'!$J9</f>
        <v>B</v>
      </c>
      <c r="N3" s="60" t="str">
        <f>'Asset summary'!$J10</f>
        <v>A</v>
      </c>
      <c r="O3" s="60" t="str">
        <f>'Asset summary'!$J11</f>
        <v>E</v>
      </c>
      <c r="P3" s="60" t="str">
        <f>'Asset summary'!$J12</f>
        <v>C</v>
      </c>
      <c r="Q3" s="60" t="str">
        <f>'Asset summary'!$J13</f>
        <v>A</v>
      </c>
      <c r="R3" s="155"/>
      <c r="S3" s="156"/>
      <c r="T3" s="157"/>
    </row>
    <row r="4" spans="1:31" ht="6" customHeight="1" thickBot="1" x14ac:dyDescent="0.35">
      <c r="A4" s="125"/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</row>
    <row r="5" spans="1:31" ht="14.15" customHeight="1" x14ac:dyDescent="0.3">
      <c r="A5" s="134" t="s">
        <v>68</v>
      </c>
      <c r="B5" s="137" t="s">
        <v>69</v>
      </c>
      <c r="C5" s="137" t="s">
        <v>35</v>
      </c>
      <c r="D5" s="140" t="s">
        <v>70</v>
      </c>
      <c r="E5" s="140"/>
      <c r="F5" s="140"/>
      <c r="G5" s="141" t="s">
        <v>71</v>
      </c>
      <c r="H5" s="141"/>
      <c r="I5" s="141"/>
      <c r="J5" s="141"/>
      <c r="K5" s="142" t="s">
        <v>72</v>
      </c>
      <c r="L5" s="142"/>
      <c r="M5" s="142"/>
      <c r="N5" s="126" t="s">
        <v>73</v>
      </c>
      <c r="O5" s="126"/>
      <c r="P5" s="126"/>
      <c r="Q5" s="126"/>
      <c r="R5" s="127" t="s">
        <v>74</v>
      </c>
      <c r="S5" s="127" t="s">
        <v>75</v>
      </c>
      <c r="T5" s="130" t="s">
        <v>76</v>
      </c>
    </row>
    <row r="6" spans="1:31" x14ac:dyDescent="0.3">
      <c r="A6" s="135"/>
      <c r="B6" s="138"/>
      <c r="C6" s="138"/>
      <c r="D6" s="133" t="str">
        <f>IF(COUNT(D8:F8)=3,IF(D8+E8&gt;0,"Remediation required",IF(F8&gt;0,"Ok to proceed","Looks Perfect!")),"Not Supported")</f>
        <v>Remediation required</v>
      </c>
      <c r="E6" s="133"/>
      <c r="F6" s="133"/>
      <c r="G6" s="133" t="str">
        <f>IF(COUNT(G8:J8)=4,IF((G8+H8+I8)&gt;0,"Remediation required",IF(J8&gt;0,"Ok to proceed","Looks Perfect!")),"Not Supported")</f>
        <v>Remediation required</v>
      </c>
      <c r="H6" s="133"/>
      <c r="I6" s="133"/>
      <c r="J6" s="133"/>
      <c r="K6" s="133" t="str">
        <f>IF(COUNT(K8:M8)=3,IF(K8+L8+M8&gt;0,"Legal team will advice!","Looks Perfect!"),"Not Supported")</f>
        <v>Legal team will advice!</v>
      </c>
      <c r="L6" s="133"/>
      <c r="M6" s="133"/>
      <c r="N6" s="133" t="str">
        <f>IF(COUNT(N8:Q8)=4,IF(N8+O8&gt;0,"Remediation required",IF(P8+Q8&gt;0,"Ok to proceed","Looks Perfect!")),"Not Supported")</f>
        <v>Remediation required</v>
      </c>
      <c r="O6" s="133"/>
      <c r="P6" s="133"/>
      <c r="Q6" s="133"/>
      <c r="R6" s="128"/>
      <c r="S6" s="128"/>
      <c r="T6" s="131"/>
    </row>
    <row r="7" spans="1:31" ht="30" x14ac:dyDescent="0.3">
      <c r="A7" s="135"/>
      <c r="B7" s="138"/>
      <c r="C7" s="138"/>
      <c r="D7" s="47" t="s">
        <v>77</v>
      </c>
      <c r="E7" s="47" t="s">
        <v>78</v>
      </c>
      <c r="F7" s="47" t="s">
        <v>79</v>
      </c>
      <c r="G7" s="47" t="s">
        <v>80</v>
      </c>
      <c r="H7" s="47" t="s">
        <v>77</v>
      </c>
      <c r="I7" s="47" t="s">
        <v>78</v>
      </c>
      <c r="J7" s="47" t="s">
        <v>79</v>
      </c>
      <c r="K7" s="47" t="s">
        <v>77</v>
      </c>
      <c r="L7" s="47" t="s">
        <v>78</v>
      </c>
      <c r="M7" s="47" t="s">
        <v>79</v>
      </c>
      <c r="N7" s="47" t="s">
        <v>81</v>
      </c>
      <c r="O7" s="47" t="s">
        <v>80</v>
      </c>
      <c r="P7" s="47" t="s">
        <v>82</v>
      </c>
      <c r="Q7" s="47" t="s">
        <v>83</v>
      </c>
      <c r="R7" s="128"/>
      <c r="S7" s="128"/>
      <c r="T7" s="131"/>
      <c r="V7" s="48" t="s">
        <v>84</v>
      </c>
      <c r="W7" s="46" t="str">
        <f>_xlfn.CONCAT("Remediation Support for ",B1," - ",B2)</f>
        <v>Remediation Support for IPR000670 - Cognizant® Integrated Quality Dashboard</v>
      </c>
      <c r="X7" s="50"/>
    </row>
    <row r="8" spans="1:31" ht="25.4" customHeight="1" thickBot="1" x14ac:dyDescent="0.35">
      <c r="A8" s="136"/>
      <c r="B8" s="139"/>
      <c r="C8" s="139"/>
      <c r="D8" s="49">
        <f>IF(COUNT(D9:D159)&gt;0,SUM(D9:D159),"NA")</f>
        <v>5</v>
      </c>
      <c r="E8" s="49">
        <f t="shared" ref="E8:Q8" si="0">IF(COUNT(E9:E159)&gt;0,SUM(E9:E159),"NA")</f>
        <v>36</v>
      </c>
      <c r="F8" s="49">
        <f t="shared" si="0"/>
        <v>0</v>
      </c>
      <c r="G8" s="49">
        <f>IF(COUNT(G9:G159)&gt;0,SUM(G9:G159),"NA")</f>
        <v>22</v>
      </c>
      <c r="H8" s="49">
        <f t="shared" si="0"/>
        <v>91</v>
      </c>
      <c r="I8" s="49">
        <f t="shared" si="0"/>
        <v>102</v>
      </c>
      <c r="J8" s="49">
        <f t="shared" si="0"/>
        <v>4</v>
      </c>
      <c r="K8" s="49">
        <f t="shared" si="0"/>
        <v>27</v>
      </c>
      <c r="L8" s="49">
        <f t="shared" si="0"/>
        <v>195</v>
      </c>
      <c r="M8" s="49">
        <f t="shared" si="0"/>
        <v>0</v>
      </c>
      <c r="N8" s="49">
        <f t="shared" si="0"/>
        <v>1</v>
      </c>
      <c r="O8" s="49">
        <f t="shared" si="0"/>
        <v>2</v>
      </c>
      <c r="P8" s="49">
        <f t="shared" si="0"/>
        <v>38</v>
      </c>
      <c r="Q8" s="49">
        <f t="shared" si="0"/>
        <v>39</v>
      </c>
      <c r="R8" s="129"/>
      <c r="S8" s="129"/>
      <c r="T8" s="132"/>
      <c r="V8" s="48" t="s">
        <v>85</v>
      </c>
      <c r="W8" s="50" t="str">
        <f>_xlfn.CONCAT("Open Vulnerabilities-
High: ", SUM(D8,G8,N8,H8),"/",SUM(D8,G8,N8,H8),"
Medium: ",SUM(E8,I8,O8),"/",SUM(E8,I8,O8),"
Low: ",SUM(F8,J8,P8),"/",SUM(F8,J8,P8))</f>
        <v>Open Vulnerabilities-
High: 119/119
Medium: 140/140
Low: 42/42</v>
      </c>
    </row>
    <row r="9" spans="1:31" ht="14.5" x14ac:dyDescent="0.35">
      <c r="A9" s="51" cm="1">
        <f t="array" ref="A9:Q21">IFERROR(_xlfn._xlws.FILTER(_xlfn._xlws.FILTER(initialScan[['#]:[Reliability Bug (Minor)]],(initialScan[Repository Name]&lt;&gt;"")*COUNT(initialScan[[SAST (High)]:[Reliability Bug (Minor)]])&gt;0),{1,1,1,0,0,0,0,0,0,0,0,0,1,1,1,1,1,1,1,1,1,1,1,1,1,1}),"")</f>
        <v>1</v>
      </c>
      <c r="B9" s="91" t="str">
        <v>ciqdashboard-ui</v>
      </c>
      <c r="C9" s="51" t="str">
        <v>TypeScript</v>
      </c>
      <c r="D9" s="52">
        <v>0</v>
      </c>
      <c r="E9" s="52">
        <v>20</v>
      </c>
      <c r="F9" s="52">
        <v>0</v>
      </c>
      <c r="G9" s="52">
        <v>5</v>
      </c>
      <c r="H9" s="57">
        <v>25</v>
      </c>
      <c r="I9" s="52">
        <v>30</v>
      </c>
      <c r="J9" s="52">
        <v>1</v>
      </c>
      <c r="K9" s="52">
        <v>4</v>
      </c>
      <c r="L9" s="52">
        <v>17</v>
      </c>
      <c r="M9" s="52">
        <v>0</v>
      </c>
      <c r="N9" s="52">
        <v>1</v>
      </c>
      <c r="O9" s="52">
        <v>2</v>
      </c>
      <c r="P9" s="52">
        <v>23</v>
      </c>
      <c r="Q9" s="52">
        <v>17</v>
      </c>
      <c r="R9" s="116" t="s">
        <v>212</v>
      </c>
      <c r="S9" s="116" t="s">
        <v>213</v>
      </c>
      <c r="T9" s="116" t="s">
        <v>76</v>
      </c>
    </row>
    <row r="10" spans="1:31" ht="14.5" x14ac:dyDescent="0.35">
      <c r="A10" s="53">
        <v>2</v>
      </c>
      <c r="B10" s="92" t="str">
        <v>ciqdashboard-api</v>
      </c>
      <c r="C10" s="53" t="str">
        <v>Java</v>
      </c>
      <c r="D10" s="54">
        <v>0</v>
      </c>
      <c r="E10" s="54">
        <v>1</v>
      </c>
      <c r="F10" s="54">
        <v>0</v>
      </c>
      <c r="G10" s="54">
        <v>3</v>
      </c>
      <c r="H10" s="54">
        <v>6</v>
      </c>
      <c r="I10" s="54">
        <v>8</v>
      </c>
      <c r="J10" s="54">
        <v>0</v>
      </c>
      <c r="K10" s="54">
        <v>2</v>
      </c>
      <c r="L10" s="54">
        <v>20</v>
      </c>
      <c r="M10" s="54">
        <v>0</v>
      </c>
      <c r="N10" s="54">
        <v>0</v>
      </c>
      <c r="O10" s="54">
        <v>0</v>
      </c>
      <c r="P10" s="54">
        <v>0</v>
      </c>
      <c r="Q10" s="54">
        <v>0</v>
      </c>
      <c r="R10" s="116" t="s">
        <v>212</v>
      </c>
      <c r="S10" s="116" t="s">
        <v>213</v>
      </c>
      <c r="T10" s="116" t="s">
        <v>76</v>
      </c>
    </row>
    <row r="11" spans="1:31" ht="14.5" x14ac:dyDescent="0.35">
      <c r="A11" s="55">
        <v>3</v>
      </c>
      <c r="B11" s="55" t="str">
        <v>ciqdashboard-auth</v>
      </c>
      <c r="C11" s="55" t="str">
        <v>Java</v>
      </c>
      <c r="D11" s="56">
        <v>5</v>
      </c>
      <c r="E11" s="56">
        <v>15</v>
      </c>
      <c r="F11" s="56">
        <v>0</v>
      </c>
      <c r="G11" s="56">
        <v>4</v>
      </c>
      <c r="H11" s="56">
        <v>8</v>
      </c>
      <c r="I11" s="56">
        <v>8</v>
      </c>
      <c r="J11" s="56">
        <v>0</v>
      </c>
      <c r="K11" s="56">
        <v>0</v>
      </c>
      <c r="L11" s="56">
        <v>17</v>
      </c>
      <c r="M11" s="56">
        <v>0</v>
      </c>
      <c r="N11" s="56">
        <v>0</v>
      </c>
      <c r="O11" s="56">
        <v>0</v>
      </c>
      <c r="P11" s="56">
        <v>2</v>
      </c>
      <c r="Q11" s="56">
        <v>0</v>
      </c>
      <c r="R11" s="119" t="s">
        <v>212</v>
      </c>
      <c r="S11" s="119" t="s">
        <v>213</v>
      </c>
      <c r="T11" s="119" t="s">
        <v>76</v>
      </c>
    </row>
    <row r="12" spans="1:31" ht="14.5" x14ac:dyDescent="0.35">
      <c r="A12" s="53">
        <v>4</v>
      </c>
      <c r="B12" s="53" t="str">
        <v>ciqdashboard-metric-services</v>
      </c>
      <c r="C12" s="53" t="str">
        <v>Java</v>
      </c>
      <c r="D12" s="54">
        <v>0</v>
      </c>
      <c r="E12" s="54">
        <v>0</v>
      </c>
      <c r="F12" s="54">
        <v>0</v>
      </c>
      <c r="G12" s="54">
        <v>1</v>
      </c>
      <c r="H12" s="54">
        <v>5</v>
      </c>
      <c r="I12" s="54">
        <v>2</v>
      </c>
      <c r="J12" s="54">
        <v>1</v>
      </c>
      <c r="K12" s="54">
        <v>1</v>
      </c>
      <c r="L12" s="54">
        <v>7</v>
      </c>
      <c r="M12" s="54">
        <v>0</v>
      </c>
      <c r="N12" s="54">
        <v>0</v>
      </c>
      <c r="O12" s="54">
        <v>0</v>
      </c>
      <c r="P12" s="54">
        <v>0</v>
      </c>
      <c r="Q12" s="54">
        <v>22</v>
      </c>
      <c r="R12" s="120" t="s">
        <v>212</v>
      </c>
      <c r="S12" s="120" t="s">
        <v>213</v>
      </c>
      <c r="T12" s="120" t="s">
        <v>76</v>
      </c>
    </row>
    <row r="13" spans="1:31" ht="14.5" x14ac:dyDescent="0.35">
      <c r="A13" s="55">
        <v>5</v>
      </c>
      <c r="B13" s="55" t="str">
        <v>ciqdashboard-collector-jira</v>
      </c>
      <c r="C13" s="55" t="str">
        <v>Java</v>
      </c>
      <c r="D13" s="56">
        <v>0</v>
      </c>
      <c r="E13" s="56">
        <v>0</v>
      </c>
      <c r="F13" s="56">
        <v>0</v>
      </c>
      <c r="G13" s="56">
        <v>1</v>
      </c>
      <c r="H13" s="56">
        <v>4</v>
      </c>
      <c r="I13" s="56">
        <v>4</v>
      </c>
      <c r="J13" s="56">
        <v>0</v>
      </c>
      <c r="K13" s="56">
        <v>2</v>
      </c>
      <c r="L13" s="56">
        <v>13</v>
      </c>
      <c r="M13" s="56">
        <v>0</v>
      </c>
      <c r="N13" s="56">
        <v>0</v>
      </c>
      <c r="O13" s="56">
        <v>0</v>
      </c>
      <c r="P13" s="56">
        <v>0</v>
      </c>
      <c r="Q13" s="56">
        <v>0</v>
      </c>
      <c r="R13" s="119" t="s">
        <v>212</v>
      </c>
      <c r="S13" s="119" t="s">
        <v>213</v>
      </c>
      <c r="T13" s="119" t="s">
        <v>76</v>
      </c>
    </row>
    <row r="14" spans="1:31" ht="14.5" x14ac:dyDescent="0.35">
      <c r="A14" s="53">
        <v>6</v>
      </c>
      <c r="B14" s="53" t="str">
        <v>ciqdashboard-collector-github</v>
      </c>
      <c r="C14" s="53" t="str">
        <v>Java</v>
      </c>
      <c r="D14" s="54">
        <v>0</v>
      </c>
      <c r="E14" s="54">
        <v>0</v>
      </c>
      <c r="F14" s="54">
        <v>0</v>
      </c>
      <c r="G14" s="54">
        <v>1</v>
      </c>
      <c r="H14" s="54">
        <v>4</v>
      </c>
      <c r="I14" s="54">
        <v>4</v>
      </c>
      <c r="J14" s="54">
        <v>0</v>
      </c>
      <c r="K14" s="54">
        <v>2</v>
      </c>
      <c r="L14" s="54">
        <v>13</v>
      </c>
      <c r="M14" s="54">
        <v>0</v>
      </c>
      <c r="N14" s="54">
        <v>0</v>
      </c>
      <c r="O14" s="54">
        <v>0</v>
      </c>
      <c r="P14" s="54">
        <v>0</v>
      </c>
      <c r="Q14" s="54">
        <v>0</v>
      </c>
      <c r="R14" s="120" t="s">
        <v>212</v>
      </c>
      <c r="S14" s="120" t="s">
        <v>213</v>
      </c>
      <c r="T14" s="120" t="s">
        <v>76</v>
      </c>
    </row>
    <row r="15" spans="1:31" ht="14.5" x14ac:dyDescent="0.35">
      <c r="A15" s="55">
        <v>7</v>
      </c>
      <c r="B15" s="55" t="str">
        <v>ciqdashboard-collector-jenkins</v>
      </c>
      <c r="C15" s="55" t="str">
        <v>Java</v>
      </c>
      <c r="D15" s="56">
        <v>0</v>
      </c>
      <c r="E15" s="56">
        <v>0</v>
      </c>
      <c r="F15" s="56">
        <v>0</v>
      </c>
      <c r="G15" s="56">
        <v>1</v>
      </c>
      <c r="H15" s="56">
        <v>4</v>
      </c>
      <c r="I15" s="56">
        <v>4</v>
      </c>
      <c r="J15" s="56">
        <v>0</v>
      </c>
      <c r="K15" s="56">
        <v>2</v>
      </c>
      <c r="L15" s="56">
        <v>14</v>
      </c>
      <c r="M15" s="56">
        <v>0</v>
      </c>
      <c r="N15" s="56">
        <v>0</v>
      </c>
      <c r="O15" s="56">
        <v>0</v>
      </c>
      <c r="P15" s="56">
        <v>0</v>
      </c>
      <c r="Q15" s="56">
        <v>0</v>
      </c>
      <c r="R15" s="119" t="s">
        <v>212</v>
      </c>
      <c r="S15" s="119" t="s">
        <v>213</v>
      </c>
      <c r="T15" s="119" t="s">
        <v>76</v>
      </c>
      <c r="W15" s="104" t="s">
        <v>181</v>
      </c>
      <c r="X15" s="105" t="s">
        <v>196</v>
      </c>
      <c r="Y15" s="100"/>
      <c r="AA15" s="100"/>
      <c r="AB15" s="100"/>
      <c r="AC15" s="100" t="str">
        <f>IF(ISBLANK(X15),"",_xlfn.CONCAT(CHAR(34),$W$15,CHAR(34),":",CHAR(34),$X$15,CHAR(34)))</f>
        <v>"scan config updated":"No"</v>
      </c>
      <c r="AD15" s="100"/>
    </row>
    <row r="16" spans="1:31" ht="14.5" x14ac:dyDescent="0.35">
      <c r="A16" s="53">
        <v>8</v>
      </c>
      <c r="B16" s="53" t="str">
        <v>ciqdashboard-collector-alm</v>
      </c>
      <c r="C16" s="53" t="str">
        <v>Java</v>
      </c>
      <c r="D16" s="54">
        <v>0</v>
      </c>
      <c r="E16" s="54">
        <v>0</v>
      </c>
      <c r="F16" s="54">
        <v>0</v>
      </c>
      <c r="G16" s="54">
        <v>1</v>
      </c>
      <c r="H16" s="54">
        <v>4</v>
      </c>
      <c r="I16" s="54">
        <v>4</v>
      </c>
      <c r="J16" s="54">
        <v>0</v>
      </c>
      <c r="K16" s="54">
        <v>2</v>
      </c>
      <c r="L16" s="54">
        <v>14</v>
      </c>
      <c r="M16" s="54">
        <v>0</v>
      </c>
      <c r="N16" s="54">
        <v>0</v>
      </c>
      <c r="O16" s="54">
        <v>0</v>
      </c>
      <c r="P16" s="54">
        <v>0</v>
      </c>
      <c r="Q16" s="54">
        <v>0</v>
      </c>
      <c r="R16" s="120" t="s">
        <v>212</v>
      </c>
      <c r="S16" s="120" t="s">
        <v>213</v>
      </c>
      <c r="T16" s="120" t="s">
        <v>76</v>
      </c>
      <c r="W16" s="100"/>
      <c r="X16" s="100"/>
      <c r="Y16" s="100"/>
      <c r="AA16" s="100"/>
      <c r="AB16" s="100"/>
      <c r="AC16" s="100"/>
      <c r="AD16" s="100"/>
      <c r="AE16" s="100"/>
    </row>
    <row r="17" spans="1:31" ht="14.5" x14ac:dyDescent="0.35">
      <c r="A17" s="55">
        <v>9</v>
      </c>
      <c r="B17" s="55" t="str">
        <v>ciqdashboard-collector-rally</v>
      </c>
      <c r="C17" s="55" t="str">
        <v>Java</v>
      </c>
      <c r="D17" s="56">
        <v>0</v>
      </c>
      <c r="E17" s="56">
        <v>0</v>
      </c>
      <c r="F17" s="56">
        <v>0</v>
      </c>
      <c r="G17" s="56">
        <v>1</v>
      </c>
      <c r="H17" s="56">
        <v>4</v>
      </c>
      <c r="I17" s="56">
        <v>5</v>
      </c>
      <c r="J17" s="56">
        <v>0</v>
      </c>
      <c r="K17" s="56">
        <v>2</v>
      </c>
      <c r="L17" s="56">
        <v>13</v>
      </c>
      <c r="M17" s="56">
        <v>0</v>
      </c>
      <c r="N17" s="56">
        <v>0</v>
      </c>
      <c r="O17" s="56">
        <v>0</v>
      </c>
      <c r="P17" s="56">
        <v>0</v>
      </c>
      <c r="Q17" s="56">
        <v>0</v>
      </c>
      <c r="R17" s="119" t="s">
        <v>212</v>
      </c>
      <c r="S17" s="119" t="s">
        <v>213</v>
      </c>
      <c r="T17" s="119" t="s">
        <v>76</v>
      </c>
      <c r="W17" s="104" t="s">
        <v>182</v>
      </c>
      <c r="X17" s="106"/>
      <c r="Y17" s="100"/>
      <c r="AA17" s="100"/>
      <c r="AB17" s="100"/>
      <c r="AC17" s="100" t="str">
        <f>IF(ISBLANK(X17),"",_xlfn.CONCAT(CHAR(34),$W$17,CHAR(34),":",CHAR(34),MONTH(X17),"/",DAY(X17),"/",YEAR(X17),CHAR(34)))</f>
        <v/>
      </c>
      <c r="AD17" s="100"/>
      <c r="AE17" s="100"/>
    </row>
    <row r="18" spans="1:31" ht="14.5" x14ac:dyDescent="0.35">
      <c r="A18" s="53">
        <v>10</v>
      </c>
      <c r="B18" s="53" t="str">
        <v>IPR000670_ciqdashboard-collector-jira-xray-cloud</v>
      </c>
      <c r="C18" s="53" t="str">
        <v>Java</v>
      </c>
      <c r="D18" s="54">
        <v>0</v>
      </c>
      <c r="E18" s="54">
        <v>0</v>
      </c>
      <c r="F18" s="54">
        <v>0</v>
      </c>
      <c r="G18" s="54">
        <v>1</v>
      </c>
      <c r="H18" s="54">
        <v>4</v>
      </c>
      <c r="I18" s="54">
        <v>4</v>
      </c>
      <c r="J18" s="54">
        <v>0</v>
      </c>
      <c r="K18" s="54">
        <v>1</v>
      </c>
      <c r="L18" s="54">
        <v>14</v>
      </c>
      <c r="M18" s="54">
        <v>0</v>
      </c>
      <c r="N18" s="54">
        <v>0</v>
      </c>
      <c r="O18" s="54">
        <v>0</v>
      </c>
      <c r="P18" s="54">
        <v>6</v>
      </c>
      <c r="Q18" s="54">
        <v>0</v>
      </c>
      <c r="R18" s="120" t="s">
        <v>212</v>
      </c>
      <c r="S18" s="120" t="s">
        <v>213</v>
      </c>
      <c r="T18" s="120" t="s">
        <v>76</v>
      </c>
      <c r="W18" s="100"/>
      <c r="X18" s="100"/>
      <c r="Y18" s="100"/>
      <c r="AA18" s="100"/>
      <c r="AB18" s="100"/>
      <c r="AC18" s="100"/>
      <c r="AD18" s="100"/>
      <c r="AE18" s="100"/>
    </row>
    <row r="19" spans="1:31" ht="14.5" x14ac:dyDescent="0.35">
      <c r="A19" s="55">
        <v>11</v>
      </c>
      <c r="B19" s="55" t="str">
        <v>IPR000670_ciqdashboard-collector-jira-zephyrscale</v>
      </c>
      <c r="C19" s="55" t="str">
        <v>Java</v>
      </c>
      <c r="D19" s="56">
        <v>0</v>
      </c>
      <c r="E19" s="56">
        <v>0</v>
      </c>
      <c r="F19" s="56">
        <v>0</v>
      </c>
      <c r="G19" s="56">
        <v>1</v>
      </c>
      <c r="H19" s="56">
        <v>7</v>
      </c>
      <c r="I19" s="56">
        <v>5</v>
      </c>
      <c r="J19" s="56">
        <v>0</v>
      </c>
      <c r="K19" s="56">
        <v>2</v>
      </c>
      <c r="L19" s="56">
        <v>14</v>
      </c>
      <c r="M19" s="56">
        <v>0</v>
      </c>
      <c r="N19" s="56">
        <v>0</v>
      </c>
      <c r="O19" s="56">
        <v>0</v>
      </c>
      <c r="P19" s="56">
        <v>0</v>
      </c>
      <c r="Q19" s="56">
        <v>0</v>
      </c>
      <c r="R19" s="119" t="s">
        <v>212</v>
      </c>
      <c r="S19" s="119" t="s">
        <v>213</v>
      </c>
      <c r="T19" s="119" t="s">
        <v>76</v>
      </c>
      <c r="W19" s="100"/>
      <c r="X19" s="101" t="s">
        <v>183</v>
      </c>
      <c r="Y19" s="101" t="s">
        <v>184</v>
      </c>
      <c r="AA19" s="100"/>
      <c r="AB19" s="100"/>
      <c r="AC19" s="100"/>
      <c r="AD19" s="100"/>
      <c r="AE19" s="100"/>
    </row>
    <row r="20" spans="1:31" ht="14.5" x14ac:dyDescent="0.35">
      <c r="A20" s="53">
        <v>12</v>
      </c>
      <c r="B20" s="53" t="str">
        <v>IPR000670_ciqdashboard-collector-jira-zephyr-xray-cloud</v>
      </c>
      <c r="C20" s="53" t="str">
        <v>Java</v>
      </c>
      <c r="D20" s="54">
        <v>0</v>
      </c>
      <c r="E20" s="54">
        <v>0</v>
      </c>
      <c r="F20" s="54">
        <v>0</v>
      </c>
      <c r="G20" s="54">
        <v>1</v>
      </c>
      <c r="H20" s="54">
        <v>8</v>
      </c>
      <c r="I20" s="54">
        <v>12</v>
      </c>
      <c r="J20" s="54">
        <v>1</v>
      </c>
      <c r="K20" s="54">
        <v>3</v>
      </c>
      <c r="L20" s="54">
        <v>20</v>
      </c>
      <c r="M20" s="54">
        <v>0</v>
      </c>
      <c r="N20" s="54">
        <v>0</v>
      </c>
      <c r="O20" s="54">
        <v>0</v>
      </c>
      <c r="P20" s="54">
        <v>5</v>
      </c>
      <c r="Q20" s="54">
        <v>0</v>
      </c>
      <c r="R20" s="120" t="s">
        <v>212</v>
      </c>
      <c r="S20" s="120" t="s">
        <v>213</v>
      </c>
      <c r="T20" s="120" t="s">
        <v>76</v>
      </c>
      <c r="W20" s="100" t="s">
        <v>185</v>
      </c>
      <c r="X20" s="102">
        <f>D8</f>
        <v>5</v>
      </c>
      <c r="Y20" s="102">
        <f>X20</f>
        <v>5</v>
      </c>
      <c r="AA20" s="100"/>
      <c r="AB20" s="100"/>
      <c r="AC20" s="100" t="str">
        <f>IF(AND(X20&gt;0,NOT(X20="NA")),_xlfn.CONCAT(CHAR(34),$W20,CHAR(34),":{",_xlfn.CONCAT(CHAR(34),$X$19,CHAR(34),":",X20,","),_xlfn.CONCAT(CHAR(34),$Y$19,CHAR(34),":",Y20),"}"),"")</f>
        <v>"SAST-High":{"initial":5,"final":5}</v>
      </c>
      <c r="AD20" s="100"/>
      <c r="AE20" s="100"/>
    </row>
    <row r="21" spans="1:31" ht="14.5" x14ac:dyDescent="0.35">
      <c r="A21" s="55">
        <v>13</v>
      </c>
      <c r="B21" s="55" t="str">
        <v>ciqdashboard-collector-jira-zephyr-cloud</v>
      </c>
      <c r="C21" s="55" t="str">
        <v>Java</v>
      </c>
      <c r="D21" s="56">
        <v>0</v>
      </c>
      <c r="E21" s="56">
        <v>0</v>
      </c>
      <c r="F21" s="56">
        <v>0</v>
      </c>
      <c r="G21" s="56">
        <v>1</v>
      </c>
      <c r="H21" s="56">
        <v>8</v>
      </c>
      <c r="I21" s="56">
        <v>12</v>
      </c>
      <c r="J21" s="56">
        <v>1</v>
      </c>
      <c r="K21" s="56">
        <v>4</v>
      </c>
      <c r="L21" s="56">
        <v>19</v>
      </c>
      <c r="M21" s="56">
        <v>0</v>
      </c>
      <c r="N21" s="56">
        <v>0</v>
      </c>
      <c r="O21" s="56">
        <v>0</v>
      </c>
      <c r="P21" s="56">
        <v>2</v>
      </c>
      <c r="Q21" s="56">
        <v>0</v>
      </c>
      <c r="R21" s="119" t="s">
        <v>212</v>
      </c>
      <c r="S21" s="119" t="s">
        <v>213</v>
      </c>
      <c r="T21" s="119" t="s">
        <v>76</v>
      </c>
      <c r="W21" s="100" t="s">
        <v>186</v>
      </c>
      <c r="X21" s="102">
        <f>E8</f>
        <v>36</v>
      </c>
      <c r="Y21" s="102">
        <f t="shared" ref="Y21:Y26" si="1">X21</f>
        <v>36</v>
      </c>
      <c r="AA21" s="100"/>
      <c r="AB21" s="100"/>
      <c r="AC21" s="100" t="str">
        <f t="shared" ref="AC21:AC26" si="2">IF(AND(X21&gt;0,NOT(X21="NA")),_xlfn.CONCAT(CHAR(34),$W21,CHAR(34),":{",_xlfn.CONCAT(CHAR(34),$X$19,CHAR(34),":",X21,","),_xlfn.CONCAT(CHAR(34),$Y$19,CHAR(34),":",Y21),"}"),"")</f>
        <v>"SAST-Medium":{"initial":36,"final":36}</v>
      </c>
      <c r="AD21" s="100"/>
      <c r="AE21" s="100"/>
    </row>
    <row r="22" spans="1:31" x14ac:dyDescent="0.3">
      <c r="A22" s="53"/>
      <c r="B22" s="53"/>
      <c r="C22" s="53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3"/>
      <c r="S22" s="53"/>
      <c r="T22" s="53"/>
      <c r="W22" s="100" t="s">
        <v>187</v>
      </c>
      <c r="X22" s="102">
        <f>G8</f>
        <v>22</v>
      </c>
      <c r="Y22" s="102">
        <f t="shared" si="1"/>
        <v>22</v>
      </c>
      <c r="AA22" s="100"/>
      <c r="AB22" s="100"/>
      <c r="AC22" s="100" t="str">
        <f t="shared" si="2"/>
        <v>"FOSS-Critical":{"initial":22,"final":22}</v>
      </c>
      <c r="AD22" s="100"/>
      <c r="AE22" s="100"/>
    </row>
    <row r="23" spans="1:31" x14ac:dyDescent="0.3">
      <c r="A23" s="55"/>
      <c r="B23" s="55"/>
      <c r="C23" s="55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5"/>
      <c r="S23" s="55"/>
      <c r="T23" s="55"/>
      <c r="W23" s="100" t="s">
        <v>188</v>
      </c>
      <c r="X23" s="102">
        <f>H8</f>
        <v>91</v>
      </c>
      <c r="Y23" s="102">
        <f t="shared" si="1"/>
        <v>91</v>
      </c>
      <c r="AA23" s="100"/>
      <c r="AB23" s="100"/>
      <c r="AC23" s="100" t="str">
        <f t="shared" si="2"/>
        <v>"FOSS-High":{"initial":91,"final":91}</v>
      </c>
      <c r="AD23" s="100"/>
      <c r="AE23" s="100"/>
    </row>
    <row r="24" spans="1:31" x14ac:dyDescent="0.3">
      <c r="A24" s="53"/>
      <c r="B24" s="53"/>
      <c r="C24" s="53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3"/>
      <c r="S24" s="53"/>
      <c r="T24" s="53"/>
      <c r="W24" s="100" t="s">
        <v>189</v>
      </c>
      <c r="X24" s="102">
        <f>I8</f>
        <v>102</v>
      </c>
      <c r="Y24" s="102">
        <f t="shared" si="1"/>
        <v>102</v>
      </c>
      <c r="AA24" s="100"/>
      <c r="AB24" s="100"/>
      <c r="AC24" s="100" t="str">
        <f t="shared" si="2"/>
        <v>"FOSS-Medium":{"initial":102,"final":102}</v>
      </c>
      <c r="AD24" s="100"/>
      <c r="AE24" s="100"/>
    </row>
    <row r="25" spans="1:31" x14ac:dyDescent="0.3">
      <c r="A25" s="55"/>
      <c r="B25" s="55"/>
      <c r="C25" s="55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5"/>
      <c r="S25" s="55"/>
      <c r="T25" s="55"/>
      <c r="W25" s="100" t="s">
        <v>190</v>
      </c>
      <c r="X25" s="102">
        <f>N8</f>
        <v>1</v>
      </c>
      <c r="Y25" s="102">
        <f t="shared" si="1"/>
        <v>1</v>
      </c>
      <c r="AA25" s="100"/>
      <c r="AB25" s="100"/>
      <c r="AC25" s="100" t="str">
        <f t="shared" si="2"/>
        <v>"Sonar-Blocker":{"initial":1,"final":1}</v>
      </c>
      <c r="AD25" s="100"/>
      <c r="AE25" s="100"/>
    </row>
    <row r="26" spans="1:31" x14ac:dyDescent="0.3">
      <c r="A26" s="53"/>
      <c r="B26" s="53"/>
      <c r="C26" s="53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3"/>
      <c r="S26" s="53"/>
      <c r="T26" s="53"/>
      <c r="W26" s="100" t="s">
        <v>191</v>
      </c>
      <c r="X26" s="102">
        <f>O8</f>
        <v>2</v>
      </c>
      <c r="Y26" s="102">
        <f t="shared" si="1"/>
        <v>2</v>
      </c>
      <c r="AA26" s="100"/>
      <c r="AB26" s="100"/>
      <c r="AC26" s="100" t="str">
        <f t="shared" si="2"/>
        <v>"Sonar-Critical":{"initial":2,"final":2}</v>
      </c>
      <c r="AD26" s="100"/>
      <c r="AE26" s="100"/>
    </row>
    <row r="27" spans="1:31" x14ac:dyDescent="0.3">
      <c r="A27" s="55"/>
      <c r="B27" s="55"/>
      <c r="C27" s="55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5"/>
      <c r="S27" s="55"/>
      <c r="T27" s="55"/>
    </row>
    <row r="28" spans="1:31" x14ac:dyDescent="0.3">
      <c r="A28" s="53"/>
      <c r="B28" s="53"/>
      <c r="C28" s="53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3"/>
      <c r="S28" s="53"/>
      <c r="T28" s="53"/>
    </row>
    <row r="29" spans="1:31" x14ac:dyDescent="0.3">
      <c r="A29" s="55"/>
      <c r="B29" s="55"/>
      <c r="C29" s="55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/>
      <c r="P29" s="56"/>
      <c r="Q29" s="56"/>
      <c r="R29" s="55"/>
      <c r="S29" s="55"/>
      <c r="T29" s="55"/>
      <c r="W29" s="107" t="str">
        <f>_xlfn.CONCAT("{",_xlfn.TEXTJOIN(",",TRUE,AC15:AC26),"}")</f>
        <v>{"scan config updated":"No","SAST-High":{"initial":5,"final":5},"SAST-Medium":{"initial":36,"final":36},"FOSS-Critical":{"initial":22,"final":22},"FOSS-High":{"initial":91,"final":91},"FOSS-Medium":{"initial":102,"final":102},"Sonar-Blocker":{"initial":1,"final":1},"Sonar-Critical":{"initial":2,"final":2}}</v>
      </c>
    </row>
    <row r="30" spans="1:31" x14ac:dyDescent="0.3">
      <c r="A30" s="53"/>
      <c r="B30" s="53"/>
      <c r="C30" s="53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3"/>
      <c r="S30" s="53"/>
      <c r="T30" s="53"/>
      <c r="X30" s="103"/>
    </row>
    <row r="31" spans="1:31" x14ac:dyDescent="0.3">
      <c r="A31" s="55"/>
      <c r="B31" s="55"/>
      <c r="C31" s="55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/>
      <c r="P31" s="56"/>
      <c r="Q31" s="56"/>
      <c r="R31" s="55"/>
      <c r="S31" s="55"/>
      <c r="T31" s="55"/>
    </row>
    <row r="32" spans="1:31" x14ac:dyDescent="0.3">
      <c r="A32" s="53"/>
      <c r="B32" s="53"/>
      <c r="C32" s="53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3"/>
      <c r="S32" s="53"/>
      <c r="T32" s="53"/>
    </row>
    <row r="33" spans="1:20" x14ac:dyDescent="0.3">
      <c r="A33" s="55"/>
      <c r="B33" s="55"/>
      <c r="C33" s="55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/>
      <c r="P33" s="56"/>
      <c r="Q33" s="56"/>
      <c r="R33" s="55"/>
      <c r="S33" s="55"/>
      <c r="T33" s="55"/>
    </row>
    <row r="34" spans="1:20" x14ac:dyDescent="0.3">
      <c r="A34" s="53"/>
      <c r="B34" s="53"/>
      <c r="C34" s="53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3"/>
      <c r="S34" s="53"/>
      <c r="T34" s="53"/>
    </row>
    <row r="35" spans="1:20" x14ac:dyDescent="0.3">
      <c r="A35" s="55"/>
      <c r="B35" s="55"/>
      <c r="C35" s="55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5"/>
      <c r="S35" s="55"/>
      <c r="T35" s="55"/>
    </row>
    <row r="36" spans="1:20" x14ac:dyDescent="0.3">
      <c r="A36" s="53"/>
      <c r="B36" s="53"/>
      <c r="C36" s="53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3"/>
      <c r="S36" s="53"/>
      <c r="T36" s="53"/>
    </row>
    <row r="37" spans="1:20" x14ac:dyDescent="0.3">
      <c r="A37" s="55"/>
      <c r="B37" s="55"/>
      <c r="C37" s="55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5"/>
      <c r="S37" s="55"/>
      <c r="T37" s="55"/>
    </row>
    <row r="38" spans="1:20" x14ac:dyDescent="0.3">
      <c r="A38" s="53"/>
      <c r="B38" s="53"/>
      <c r="C38" s="53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3"/>
      <c r="S38" s="53"/>
      <c r="T38" s="53"/>
    </row>
    <row r="39" spans="1:20" x14ac:dyDescent="0.3">
      <c r="A39" s="55"/>
      <c r="B39" s="55"/>
      <c r="C39" s="55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  <c r="P39" s="56"/>
      <c r="Q39" s="56"/>
      <c r="R39" s="55"/>
      <c r="S39" s="55"/>
      <c r="T39" s="55"/>
    </row>
    <row r="40" spans="1:20" x14ac:dyDescent="0.3">
      <c r="A40" s="53"/>
      <c r="B40" s="53"/>
      <c r="C40" s="53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3"/>
      <c r="S40" s="53"/>
      <c r="T40" s="53"/>
    </row>
    <row r="41" spans="1:20" x14ac:dyDescent="0.3">
      <c r="A41" s="55"/>
      <c r="B41" s="55"/>
      <c r="C41" s="55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/>
      <c r="P41" s="56"/>
      <c r="Q41" s="56"/>
      <c r="R41" s="55"/>
      <c r="S41" s="55"/>
      <c r="T41" s="55"/>
    </row>
    <row r="42" spans="1:20" x14ac:dyDescent="0.3">
      <c r="A42" s="53"/>
      <c r="B42" s="53"/>
      <c r="C42" s="53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3"/>
      <c r="S42" s="53"/>
      <c r="T42" s="53"/>
    </row>
    <row r="43" spans="1:20" x14ac:dyDescent="0.3">
      <c r="A43" s="55"/>
      <c r="B43" s="55"/>
      <c r="C43" s="55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/>
      <c r="P43" s="56"/>
      <c r="Q43" s="56"/>
      <c r="R43" s="55"/>
      <c r="S43" s="55"/>
      <c r="T43" s="55"/>
    </row>
    <row r="44" spans="1:20" x14ac:dyDescent="0.3">
      <c r="A44" s="53"/>
      <c r="B44" s="53"/>
      <c r="C44" s="53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3"/>
      <c r="S44" s="53"/>
      <c r="T44" s="53"/>
    </row>
    <row r="45" spans="1:20" x14ac:dyDescent="0.3">
      <c r="A45" s="55"/>
      <c r="B45" s="55"/>
      <c r="C45" s="55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/>
      <c r="P45" s="56"/>
      <c r="Q45" s="56"/>
      <c r="R45" s="55"/>
      <c r="S45" s="55"/>
      <c r="T45" s="55"/>
    </row>
    <row r="46" spans="1:20" x14ac:dyDescent="0.3">
      <c r="A46" s="53"/>
      <c r="B46" s="53"/>
      <c r="C46" s="53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3"/>
      <c r="S46" s="53"/>
      <c r="T46" s="53"/>
    </row>
    <row r="47" spans="1:20" x14ac:dyDescent="0.3">
      <c r="A47" s="55"/>
      <c r="B47" s="55"/>
      <c r="C47" s="55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5"/>
      <c r="S47" s="55"/>
      <c r="T47" s="55"/>
    </row>
    <row r="48" spans="1:20" x14ac:dyDescent="0.3">
      <c r="A48" s="53"/>
      <c r="B48" s="53"/>
      <c r="C48" s="53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3"/>
      <c r="S48" s="53"/>
      <c r="T48" s="53"/>
    </row>
    <row r="49" spans="1:20" x14ac:dyDescent="0.3">
      <c r="A49" s="55"/>
      <c r="B49" s="55"/>
      <c r="C49" s="55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5"/>
      <c r="S49" s="55"/>
      <c r="T49" s="55"/>
    </row>
    <row r="50" spans="1:20" x14ac:dyDescent="0.3">
      <c r="A50" s="53"/>
      <c r="B50" s="53"/>
      <c r="C50" s="53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3"/>
      <c r="S50" s="53"/>
      <c r="T50" s="53"/>
    </row>
    <row r="51" spans="1:20" x14ac:dyDescent="0.3">
      <c r="A51" s="55"/>
      <c r="B51" s="55"/>
      <c r="C51" s="55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5"/>
      <c r="S51" s="55"/>
      <c r="T51" s="55"/>
    </row>
    <row r="52" spans="1:20" x14ac:dyDescent="0.3">
      <c r="A52" s="53"/>
      <c r="B52" s="53"/>
      <c r="C52" s="53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3"/>
      <c r="S52" s="53"/>
      <c r="T52" s="53"/>
    </row>
    <row r="53" spans="1:20" x14ac:dyDescent="0.3">
      <c r="A53" s="55"/>
      <c r="B53" s="55"/>
      <c r="C53" s="55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/>
      <c r="P53" s="56"/>
      <c r="Q53" s="56"/>
      <c r="R53" s="55"/>
      <c r="S53" s="55"/>
      <c r="T53" s="55"/>
    </row>
    <row r="54" spans="1:20" x14ac:dyDescent="0.3">
      <c r="A54" s="53"/>
      <c r="B54" s="53"/>
      <c r="C54" s="53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3"/>
      <c r="S54" s="53"/>
      <c r="T54" s="53"/>
    </row>
    <row r="55" spans="1:20" x14ac:dyDescent="0.3">
      <c r="A55" s="55"/>
      <c r="B55" s="55"/>
      <c r="C55" s="55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/>
      <c r="P55" s="56"/>
      <c r="Q55" s="56"/>
      <c r="R55" s="55"/>
      <c r="S55" s="55"/>
      <c r="T55" s="55"/>
    </row>
    <row r="56" spans="1:20" x14ac:dyDescent="0.3">
      <c r="A56" s="53"/>
      <c r="B56" s="53"/>
      <c r="C56" s="53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3"/>
      <c r="S56" s="53"/>
      <c r="T56" s="53"/>
    </row>
    <row r="57" spans="1:20" x14ac:dyDescent="0.3">
      <c r="A57" s="55"/>
      <c r="B57" s="55"/>
      <c r="C57" s="55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5"/>
      <c r="S57" s="55"/>
      <c r="T57" s="55"/>
    </row>
    <row r="58" spans="1:20" x14ac:dyDescent="0.3">
      <c r="A58" s="53"/>
      <c r="B58" s="53"/>
      <c r="C58" s="53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3"/>
      <c r="S58" s="53"/>
      <c r="T58" s="53"/>
    </row>
    <row r="59" spans="1:20" x14ac:dyDescent="0.3">
      <c r="A59" s="55"/>
      <c r="B59" s="55"/>
      <c r="C59" s="55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  <c r="P59" s="56"/>
      <c r="Q59" s="56"/>
      <c r="R59" s="55"/>
      <c r="S59" s="55"/>
      <c r="T59" s="55"/>
    </row>
    <row r="60" spans="1:20" x14ac:dyDescent="0.3">
      <c r="A60" s="53"/>
      <c r="B60" s="53"/>
      <c r="C60" s="53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3"/>
      <c r="S60" s="53"/>
      <c r="T60" s="53"/>
    </row>
    <row r="61" spans="1:20" x14ac:dyDescent="0.3">
      <c r="A61" s="55"/>
      <c r="B61" s="55"/>
      <c r="C61" s="55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/>
      <c r="P61" s="56"/>
      <c r="Q61" s="56"/>
      <c r="R61" s="55"/>
      <c r="S61" s="55"/>
      <c r="T61" s="55"/>
    </row>
    <row r="62" spans="1:20" x14ac:dyDescent="0.3">
      <c r="A62" s="53"/>
      <c r="B62" s="53"/>
      <c r="C62" s="53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3"/>
      <c r="S62" s="53"/>
      <c r="T62" s="53"/>
    </row>
    <row r="63" spans="1:20" x14ac:dyDescent="0.3">
      <c r="A63" s="55"/>
      <c r="B63" s="55"/>
      <c r="C63" s="55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5"/>
      <c r="S63" s="55"/>
      <c r="T63" s="55"/>
    </row>
    <row r="64" spans="1:20" x14ac:dyDescent="0.3">
      <c r="A64" s="53"/>
      <c r="B64" s="53"/>
      <c r="C64" s="53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3"/>
      <c r="S64" s="53"/>
      <c r="T64" s="53"/>
    </row>
    <row r="65" spans="1:20" x14ac:dyDescent="0.3">
      <c r="A65" s="55"/>
      <c r="B65" s="55"/>
      <c r="C65" s="55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/>
      <c r="P65" s="56"/>
      <c r="Q65" s="56"/>
      <c r="R65" s="55"/>
      <c r="S65" s="55"/>
      <c r="T65" s="55"/>
    </row>
    <row r="66" spans="1:20" x14ac:dyDescent="0.3">
      <c r="A66" s="53"/>
      <c r="B66" s="53"/>
      <c r="C66" s="53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3"/>
      <c r="S66" s="53"/>
      <c r="T66" s="53"/>
    </row>
    <row r="67" spans="1:20" x14ac:dyDescent="0.3">
      <c r="A67" s="55"/>
      <c r="B67" s="55"/>
      <c r="C67" s="55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5"/>
      <c r="S67" s="55"/>
      <c r="T67" s="55"/>
    </row>
    <row r="68" spans="1:20" x14ac:dyDescent="0.3">
      <c r="A68" s="53"/>
      <c r="B68" s="53"/>
      <c r="C68" s="53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3"/>
      <c r="S68" s="53"/>
      <c r="T68" s="53"/>
    </row>
    <row r="69" spans="1:20" x14ac:dyDescent="0.3">
      <c r="A69" s="55"/>
      <c r="B69" s="55"/>
      <c r="C69" s="55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5"/>
      <c r="S69" s="55"/>
      <c r="T69" s="55"/>
    </row>
    <row r="70" spans="1:20" x14ac:dyDescent="0.3">
      <c r="A70" s="53"/>
      <c r="B70" s="53"/>
      <c r="C70" s="53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3"/>
      <c r="S70" s="53"/>
      <c r="T70" s="53"/>
    </row>
    <row r="71" spans="1:20" x14ac:dyDescent="0.3">
      <c r="A71" s="55"/>
      <c r="B71" s="55"/>
      <c r="C71" s="55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/>
      <c r="P71" s="56"/>
      <c r="Q71" s="56"/>
      <c r="R71" s="55"/>
      <c r="S71" s="55"/>
      <c r="T71" s="55"/>
    </row>
    <row r="72" spans="1:20" x14ac:dyDescent="0.3">
      <c r="A72" s="53"/>
      <c r="B72" s="53"/>
      <c r="C72" s="53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3"/>
      <c r="S72" s="53"/>
      <c r="T72" s="53"/>
    </row>
    <row r="73" spans="1:20" x14ac:dyDescent="0.3">
      <c r="A73" s="55"/>
      <c r="B73" s="55"/>
      <c r="C73" s="55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/>
      <c r="P73" s="56"/>
      <c r="Q73" s="56"/>
      <c r="R73" s="55"/>
      <c r="S73" s="55"/>
      <c r="T73" s="55"/>
    </row>
    <row r="74" spans="1:20" x14ac:dyDescent="0.3">
      <c r="A74" s="53"/>
      <c r="B74" s="53"/>
      <c r="C74" s="53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3"/>
      <c r="S74" s="53"/>
      <c r="T74" s="53"/>
    </row>
    <row r="75" spans="1:20" x14ac:dyDescent="0.3">
      <c r="A75" s="55"/>
      <c r="B75" s="55"/>
      <c r="C75" s="55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/>
      <c r="P75" s="56"/>
      <c r="Q75" s="56"/>
      <c r="R75" s="55"/>
      <c r="S75" s="55"/>
      <c r="T75" s="55"/>
    </row>
    <row r="76" spans="1:20" x14ac:dyDescent="0.3">
      <c r="A76" s="53"/>
      <c r="B76" s="53"/>
      <c r="C76" s="53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3"/>
      <c r="S76" s="53"/>
      <c r="T76" s="53"/>
    </row>
    <row r="77" spans="1:20" x14ac:dyDescent="0.3">
      <c r="A77" s="55"/>
      <c r="B77" s="55"/>
      <c r="C77" s="55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/>
      <c r="P77" s="56"/>
      <c r="Q77" s="56"/>
      <c r="R77" s="55"/>
      <c r="S77" s="55"/>
      <c r="T77" s="55"/>
    </row>
    <row r="78" spans="1:20" x14ac:dyDescent="0.3">
      <c r="A78" s="53"/>
      <c r="B78" s="53"/>
      <c r="C78" s="53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3"/>
      <c r="S78" s="53"/>
      <c r="T78" s="53"/>
    </row>
    <row r="79" spans="1:20" x14ac:dyDescent="0.3">
      <c r="A79" s="55"/>
      <c r="B79" s="55"/>
      <c r="C79" s="55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/>
      <c r="P79" s="56"/>
      <c r="Q79" s="56"/>
      <c r="R79" s="55"/>
      <c r="S79" s="55"/>
      <c r="T79" s="55"/>
    </row>
    <row r="80" spans="1:20" x14ac:dyDescent="0.3">
      <c r="A80" s="53"/>
      <c r="B80" s="53"/>
      <c r="C80" s="53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3"/>
      <c r="S80" s="53"/>
      <c r="T80" s="53"/>
    </row>
    <row r="81" spans="1:20" x14ac:dyDescent="0.3">
      <c r="A81" s="55"/>
      <c r="B81" s="55"/>
      <c r="C81" s="55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/>
      <c r="P81" s="56"/>
      <c r="Q81" s="56"/>
      <c r="R81" s="55"/>
      <c r="S81" s="55"/>
      <c r="T81" s="55"/>
    </row>
    <row r="82" spans="1:20" x14ac:dyDescent="0.3">
      <c r="A82" s="53"/>
      <c r="B82" s="53"/>
      <c r="C82" s="53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3"/>
      <c r="S82" s="53"/>
      <c r="T82" s="53"/>
    </row>
    <row r="83" spans="1:20" x14ac:dyDescent="0.3">
      <c r="A83" s="55"/>
      <c r="B83" s="55"/>
      <c r="C83" s="55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5"/>
      <c r="S83" s="55"/>
      <c r="T83" s="55"/>
    </row>
    <row r="84" spans="1:20" x14ac:dyDescent="0.3">
      <c r="A84" s="53"/>
      <c r="B84" s="53"/>
      <c r="C84" s="53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3"/>
      <c r="S84" s="53"/>
      <c r="T84" s="53"/>
    </row>
    <row r="85" spans="1:20" x14ac:dyDescent="0.3">
      <c r="A85" s="55"/>
      <c r="B85" s="55"/>
      <c r="C85" s="55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/>
      <c r="P85" s="56"/>
      <c r="Q85" s="56"/>
      <c r="R85" s="55"/>
      <c r="S85" s="55"/>
      <c r="T85" s="55"/>
    </row>
    <row r="86" spans="1:20" x14ac:dyDescent="0.3">
      <c r="A86" s="53"/>
      <c r="B86" s="53"/>
      <c r="C86" s="53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3"/>
      <c r="S86" s="53"/>
      <c r="T86" s="53"/>
    </row>
    <row r="87" spans="1:20" x14ac:dyDescent="0.3">
      <c r="A87" s="55"/>
      <c r="B87" s="55"/>
      <c r="C87" s="55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/>
      <c r="P87" s="56"/>
      <c r="Q87" s="56"/>
      <c r="R87" s="55"/>
      <c r="S87" s="55"/>
      <c r="T87" s="55"/>
    </row>
    <row r="88" spans="1:20" x14ac:dyDescent="0.3">
      <c r="A88" s="53"/>
      <c r="B88" s="53"/>
      <c r="C88" s="53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3"/>
      <c r="S88" s="53"/>
      <c r="T88" s="53"/>
    </row>
    <row r="89" spans="1:20" x14ac:dyDescent="0.3">
      <c r="A89" s="55"/>
      <c r="B89" s="55"/>
      <c r="C89" s="55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/>
      <c r="P89" s="56"/>
      <c r="Q89" s="56"/>
      <c r="R89" s="55"/>
      <c r="S89" s="55"/>
      <c r="T89" s="55"/>
    </row>
    <row r="90" spans="1:20" x14ac:dyDescent="0.3">
      <c r="A90" s="53"/>
      <c r="B90" s="53"/>
      <c r="C90" s="53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3"/>
      <c r="S90" s="53"/>
      <c r="T90" s="53"/>
    </row>
    <row r="91" spans="1:20" x14ac:dyDescent="0.3">
      <c r="A91" s="55"/>
      <c r="B91" s="55"/>
      <c r="C91" s="55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/>
      <c r="P91" s="56"/>
      <c r="Q91" s="56"/>
      <c r="R91" s="55"/>
      <c r="S91" s="55"/>
      <c r="T91" s="55"/>
    </row>
    <row r="92" spans="1:20" x14ac:dyDescent="0.3">
      <c r="A92" s="53"/>
      <c r="B92" s="53"/>
      <c r="C92" s="53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3"/>
      <c r="S92" s="53"/>
      <c r="T92" s="53"/>
    </row>
    <row r="93" spans="1:20" x14ac:dyDescent="0.3">
      <c r="A93" s="55"/>
      <c r="B93" s="55"/>
      <c r="C93" s="55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/>
      <c r="P93" s="56"/>
      <c r="Q93" s="56"/>
      <c r="R93" s="55"/>
      <c r="S93" s="55"/>
      <c r="T93" s="55"/>
    </row>
    <row r="94" spans="1:20" x14ac:dyDescent="0.3">
      <c r="A94" s="53"/>
      <c r="B94" s="53"/>
      <c r="C94" s="53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3"/>
      <c r="S94" s="53"/>
      <c r="T94" s="53"/>
    </row>
    <row r="95" spans="1:20" x14ac:dyDescent="0.3">
      <c r="A95" s="55"/>
      <c r="B95" s="55"/>
      <c r="C95" s="55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/>
      <c r="P95" s="56"/>
      <c r="Q95" s="56"/>
      <c r="R95" s="55"/>
      <c r="S95" s="55"/>
      <c r="T95" s="55"/>
    </row>
    <row r="96" spans="1:20" x14ac:dyDescent="0.3">
      <c r="A96" s="53"/>
      <c r="B96" s="53"/>
      <c r="C96" s="53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3"/>
      <c r="S96" s="53"/>
      <c r="T96" s="53"/>
    </row>
    <row r="97" spans="1:20" x14ac:dyDescent="0.3">
      <c r="A97" s="55"/>
      <c r="B97" s="55"/>
      <c r="C97" s="55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/>
      <c r="P97" s="56"/>
      <c r="Q97" s="56"/>
      <c r="R97" s="55"/>
      <c r="S97" s="55"/>
      <c r="T97" s="55"/>
    </row>
    <row r="98" spans="1:20" x14ac:dyDescent="0.3">
      <c r="A98" s="53"/>
      <c r="B98" s="53"/>
      <c r="C98" s="53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3"/>
      <c r="S98" s="53"/>
      <c r="T98" s="53"/>
    </row>
    <row r="99" spans="1:20" x14ac:dyDescent="0.3">
      <c r="A99" s="55"/>
      <c r="B99" s="55"/>
      <c r="C99" s="55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5"/>
      <c r="S99" s="55"/>
      <c r="T99" s="55"/>
    </row>
    <row r="100" spans="1:20" x14ac:dyDescent="0.3">
      <c r="A100" s="53"/>
      <c r="B100" s="53"/>
      <c r="C100" s="53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3"/>
      <c r="S100" s="53"/>
      <c r="T100" s="53"/>
    </row>
    <row r="101" spans="1:20" x14ac:dyDescent="0.3">
      <c r="A101" s="55"/>
      <c r="B101" s="55"/>
      <c r="C101" s="55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/>
      <c r="P101" s="56"/>
      <c r="Q101" s="56"/>
      <c r="R101" s="55"/>
      <c r="S101" s="55"/>
      <c r="T101" s="55"/>
    </row>
    <row r="102" spans="1:20" x14ac:dyDescent="0.3">
      <c r="A102" s="53"/>
      <c r="B102" s="53"/>
      <c r="C102" s="53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3"/>
      <c r="S102" s="53"/>
      <c r="T102" s="53"/>
    </row>
    <row r="103" spans="1:20" x14ac:dyDescent="0.3">
      <c r="A103" s="55"/>
      <c r="B103" s="55"/>
      <c r="C103" s="55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/>
      <c r="P103" s="56"/>
      <c r="Q103" s="56"/>
      <c r="R103" s="55"/>
      <c r="S103" s="55"/>
      <c r="T103" s="55"/>
    </row>
    <row r="104" spans="1:20" x14ac:dyDescent="0.3">
      <c r="A104" s="53"/>
      <c r="B104" s="53"/>
      <c r="C104" s="53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3"/>
      <c r="S104" s="53"/>
      <c r="T104" s="53"/>
    </row>
    <row r="105" spans="1:20" x14ac:dyDescent="0.3">
      <c r="A105" s="55"/>
      <c r="B105" s="55"/>
      <c r="C105" s="55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/>
      <c r="P105" s="56"/>
      <c r="Q105" s="56"/>
      <c r="R105" s="55"/>
      <c r="S105" s="55"/>
      <c r="T105" s="55"/>
    </row>
    <row r="106" spans="1:20" x14ac:dyDescent="0.3">
      <c r="A106" s="53"/>
      <c r="B106" s="53"/>
      <c r="C106" s="53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3"/>
      <c r="S106" s="53"/>
      <c r="T106" s="53"/>
    </row>
    <row r="107" spans="1:20" x14ac:dyDescent="0.3">
      <c r="A107" s="55"/>
      <c r="B107" s="55"/>
      <c r="C107" s="55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/>
      <c r="P107" s="56"/>
      <c r="Q107" s="56"/>
      <c r="R107" s="55"/>
      <c r="S107" s="55"/>
      <c r="T107" s="55"/>
    </row>
    <row r="108" spans="1:20" x14ac:dyDescent="0.3">
      <c r="A108" s="53"/>
      <c r="B108" s="53"/>
      <c r="C108" s="53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3"/>
      <c r="S108" s="53"/>
      <c r="T108" s="53"/>
    </row>
    <row r="109" spans="1:20" x14ac:dyDescent="0.3">
      <c r="A109" s="55"/>
      <c r="B109" s="55"/>
      <c r="C109" s="55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/>
      <c r="P109" s="56"/>
      <c r="Q109" s="56"/>
      <c r="R109" s="55"/>
      <c r="S109" s="55"/>
      <c r="T109" s="55"/>
    </row>
    <row r="110" spans="1:20" x14ac:dyDescent="0.3">
      <c r="A110" s="53"/>
      <c r="B110" s="53"/>
      <c r="C110" s="53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3"/>
      <c r="S110" s="53"/>
      <c r="T110" s="53"/>
    </row>
    <row r="111" spans="1:20" x14ac:dyDescent="0.3">
      <c r="A111" s="55"/>
      <c r="B111" s="55"/>
      <c r="C111" s="55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/>
      <c r="P111" s="56"/>
      <c r="Q111" s="56"/>
      <c r="R111" s="55"/>
      <c r="S111" s="55"/>
      <c r="T111" s="55"/>
    </row>
    <row r="112" spans="1:20" x14ac:dyDescent="0.3">
      <c r="A112" s="53"/>
      <c r="B112" s="53"/>
      <c r="C112" s="53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3"/>
      <c r="S112" s="53"/>
      <c r="T112" s="53"/>
    </row>
    <row r="113" spans="1:20" x14ac:dyDescent="0.3">
      <c r="A113" s="55"/>
      <c r="B113" s="55"/>
      <c r="C113" s="55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/>
      <c r="P113" s="56"/>
      <c r="Q113" s="56"/>
      <c r="R113" s="55"/>
      <c r="S113" s="55"/>
      <c r="T113" s="55"/>
    </row>
    <row r="114" spans="1:20" x14ac:dyDescent="0.3">
      <c r="A114" s="53"/>
      <c r="B114" s="53"/>
      <c r="C114" s="53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3"/>
      <c r="S114" s="53"/>
      <c r="T114" s="53"/>
    </row>
    <row r="115" spans="1:20" x14ac:dyDescent="0.3">
      <c r="A115" s="55"/>
      <c r="B115" s="55"/>
      <c r="C115" s="55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5"/>
      <c r="S115" s="55"/>
      <c r="T115" s="55"/>
    </row>
    <row r="116" spans="1:20" x14ac:dyDescent="0.3">
      <c r="A116" s="53"/>
      <c r="B116" s="53"/>
      <c r="C116" s="53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3"/>
      <c r="S116" s="53"/>
      <c r="T116" s="53"/>
    </row>
    <row r="117" spans="1:20" x14ac:dyDescent="0.3">
      <c r="A117" s="55"/>
      <c r="B117" s="55"/>
      <c r="C117" s="55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/>
      <c r="P117" s="56"/>
      <c r="Q117" s="56"/>
      <c r="R117" s="55"/>
      <c r="S117" s="55"/>
      <c r="T117" s="55"/>
    </row>
    <row r="118" spans="1:20" x14ac:dyDescent="0.3">
      <c r="A118" s="53"/>
      <c r="B118" s="53"/>
      <c r="C118" s="53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3"/>
      <c r="S118" s="53"/>
      <c r="T118" s="53"/>
    </row>
    <row r="119" spans="1:20" x14ac:dyDescent="0.3">
      <c r="A119" s="55"/>
      <c r="B119" s="55"/>
      <c r="C119" s="55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/>
      <c r="P119" s="56"/>
      <c r="Q119" s="56"/>
      <c r="R119" s="55"/>
      <c r="S119" s="55"/>
      <c r="T119" s="55"/>
    </row>
    <row r="120" spans="1:20" x14ac:dyDescent="0.3">
      <c r="A120" s="53"/>
      <c r="B120" s="53"/>
      <c r="C120" s="53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3"/>
      <c r="S120" s="53"/>
      <c r="T120" s="53"/>
    </row>
    <row r="121" spans="1:20" x14ac:dyDescent="0.3">
      <c r="A121" s="55"/>
      <c r="B121" s="55"/>
      <c r="C121" s="55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/>
      <c r="P121" s="56"/>
      <c r="Q121" s="56"/>
      <c r="R121" s="55"/>
      <c r="S121" s="55"/>
      <c r="T121" s="55"/>
    </row>
    <row r="122" spans="1:20" x14ac:dyDescent="0.3">
      <c r="A122" s="53"/>
      <c r="B122" s="53"/>
      <c r="C122" s="53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3"/>
      <c r="S122" s="53"/>
      <c r="T122" s="53"/>
    </row>
    <row r="123" spans="1:20" x14ac:dyDescent="0.3">
      <c r="A123" s="55"/>
      <c r="B123" s="55"/>
      <c r="C123" s="55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/>
      <c r="P123" s="56"/>
      <c r="Q123" s="56"/>
      <c r="R123" s="55"/>
      <c r="S123" s="55"/>
      <c r="T123" s="55"/>
    </row>
    <row r="124" spans="1:20" x14ac:dyDescent="0.3">
      <c r="A124" s="53"/>
      <c r="B124" s="53"/>
      <c r="C124" s="53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3"/>
      <c r="S124" s="53"/>
      <c r="T124" s="53"/>
    </row>
    <row r="125" spans="1:20" x14ac:dyDescent="0.3">
      <c r="A125" s="55"/>
      <c r="B125" s="55"/>
      <c r="C125" s="55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/>
      <c r="P125" s="56"/>
      <c r="Q125" s="56"/>
      <c r="R125" s="55"/>
      <c r="S125" s="55"/>
      <c r="T125" s="55"/>
    </row>
    <row r="126" spans="1:20" x14ac:dyDescent="0.3">
      <c r="A126" s="53"/>
      <c r="B126" s="53"/>
      <c r="C126" s="53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3"/>
      <c r="S126" s="53"/>
      <c r="T126" s="53"/>
    </row>
    <row r="127" spans="1:20" x14ac:dyDescent="0.3">
      <c r="A127" s="55"/>
      <c r="B127" s="55"/>
      <c r="C127" s="55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5"/>
      <c r="S127" s="55"/>
      <c r="T127" s="55"/>
    </row>
    <row r="128" spans="1:20" x14ac:dyDescent="0.3">
      <c r="A128" s="53"/>
      <c r="B128" s="53"/>
      <c r="C128" s="53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3"/>
      <c r="S128" s="53"/>
      <c r="T128" s="53"/>
    </row>
    <row r="129" spans="1:20" x14ac:dyDescent="0.3">
      <c r="A129" s="55"/>
      <c r="B129" s="55"/>
      <c r="C129" s="55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/>
      <c r="P129" s="56"/>
      <c r="Q129" s="56"/>
      <c r="R129" s="55"/>
      <c r="S129" s="55"/>
      <c r="T129" s="55"/>
    </row>
    <row r="130" spans="1:20" x14ac:dyDescent="0.3">
      <c r="A130" s="53"/>
      <c r="B130" s="53"/>
      <c r="C130" s="53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3"/>
      <c r="S130" s="53"/>
      <c r="T130" s="53"/>
    </row>
    <row r="131" spans="1:20" x14ac:dyDescent="0.3">
      <c r="A131" s="55"/>
      <c r="B131" s="55"/>
      <c r="C131" s="55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5"/>
      <c r="S131" s="55"/>
      <c r="T131" s="55"/>
    </row>
    <row r="132" spans="1:20" x14ac:dyDescent="0.3">
      <c r="A132" s="53"/>
      <c r="B132" s="53"/>
      <c r="C132" s="53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3"/>
      <c r="S132" s="53"/>
      <c r="T132" s="53"/>
    </row>
    <row r="133" spans="1:20" x14ac:dyDescent="0.3">
      <c r="A133" s="55"/>
      <c r="B133" s="55"/>
      <c r="C133" s="55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/>
      <c r="P133" s="56"/>
      <c r="Q133" s="56"/>
      <c r="R133" s="55"/>
      <c r="S133" s="55"/>
      <c r="T133" s="55"/>
    </row>
    <row r="134" spans="1:20" x14ac:dyDescent="0.3">
      <c r="A134" s="53"/>
      <c r="B134" s="53"/>
      <c r="C134" s="53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3"/>
      <c r="S134" s="53"/>
      <c r="T134" s="53"/>
    </row>
    <row r="135" spans="1:20" x14ac:dyDescent="0.3">
      <c r="A135" s="55"/>
      <c r="B135" s="55"/>
      <c r="C135" s="55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/>
      <c r="P135" s="56"/>
      <c r="Q135" s="56"/>
      <c r="R135" s="55"/>
      <c r="S135" s="55"/>
      <c r="T135" s="55"/>
    </row>
    <row r="136" spans="1:20" x14ac:dyDescent="0.3">
      <c r="A136" s="53"/>
      <c r="B136" s="53"/>
      <c r="C136" s="53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3"/>
      <c r="S136" s="53"/>
      <c r="T136" s="53"/>
    </row>
    <row r="137" spans="1:20" x14ac:dyDescent="0.3">
      <c r="A137" s="55"/>
      <c r="B137" s="55"/>
      <c r="C137" s="55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/>
      <c r="P137" s="56"/>
      <c r="Q137" s="56"/>
      <c r="R137" s="55"/>
      <c r="S137" s="55"/>
      <c r="T137" s="55"/>
    </row>
    <row r="138" spans="1:20" x14ac:dyDescent="0.3">
      <c r="A138" s="53"/>
      <c r="B138" s="53"/>
      <c r="C138" s="53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3"/>
      <c r="S138" s="53"/>
      <c r="T138" s="53"/>
    </row>
    <row r="139" spans="1:20" x14ac:dyDescent="0.3">
      <c r="A139" s="55"/>
      <c r="B139" s="55"/>
      <c r="C139" s="55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/>
      <c r="P139" s="56"/>
      <c r="Q139" s="56"/>
      <c r="R139" s="55"/>
      <c r="S139" s="55"/>
      <c r="T139" s="55"/>
    </row>
    <row r="140" spans="1:20" x14ac:dyDescent="0.3">
      <c r="A140" s="53"/>
      <c r="B140" s="53"/>
      <c r="C140" s="53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3"/>
      <c r="S140" s="53"/>
      <c r="T140" s="53"/>
    </row>
    <row r="141" spans="1:20" x14ac:dyDescent="0.3">
      <c r="A141" s="55"/>
      <c r="B141" s="55"/>
      <c r="C141" s="55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/>
      <c r="P141" s="56"/>
      <c r="Q141" s="56"/>
      <c r="R141" s="55"/>
      <c r="S141" s="55"/>
      <c r="T141" s="55"/>
    </row>
    <row r="142" spans="1:20" x14ac:dyDescent="0.3">
      <c r="A142" s="53"/>
      <c r="B142" s="53"/>
      <c r="C142" s="53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3"/>
      <c r="S142" s="53"/>
      <c r="T142" s="53"/>
    </row>
    <row r="143" spans="1:20" x14ac:dyDescent="0.3">
      <c r="A143" s="55"/>
      <c r="B143" s="55"/>
      <c r="C143" s="55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/>
      <c r="P143" s="56"/>
      <c r="Q143" s="56"/>
      <c r="R143" s="55"/>
      <c r="S143" s="55"/>
      <c r="T143" s="55"/>
    </row>
    <row r="144" spans="1:20" x14ac:dyDescent="0.3">
      <c r="A144" s="53"/>
      <c r="B144" s="53"/>
      <c r="C144" s="53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3"/>
      <c r="S144" s="53"/>
      <c r="T144" s="53"/>
    </row>
    <row r="145" spans="1:20" x14ac:dyDescent="0.3">
      <c r="A145" s="55"/>
      <c r="B145" s="55"/>
      <c r="C145" s="55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/>
      <c r="P145" s="56"/>
      <c r="Q145" s="56"/>
      <c r="R145" s="55"/>
      <c r="S145" s="55"/>
      <c r="T145" s="55"/>
    </row>
    <row r="146" spans="1:20" x14ac:dyDescent="0.3">
      <c r="A146" s="53"/>
      <c r="B146" s="53"/>
      <c r="C146" s="53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3"/>
      <c r="S146" s="53"/>
      <c r="T146" s="53"/>
    </row>
    <row r="147" spans="1:20" x14ac:dyDescent="0.3">
      <c r="A147" s="55"/>
      <c r="B147" s="55"/>
      <c r="C147" s="55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5"/>
      <c r="S147" s="55"/>
      <c r="T147" s="55"/>
    </row>
    <row r="148" spans="1:20" x14ac:dyDescent="0.3">
      <c r="A148" s="53"/>
      <c r="B148" s="53"/>
      <c r="C148" s="53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3"/>
      <c r="S148" s="53"/>
      <c r="T148" s="53"/>
    </row>
    <row r="149" spans="1:20" x14ac:dyDescent="0.3">
      <c r="A149" s="55"/>
      <c r="B149" s="55"/>
      <c r="C149" s="55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/>
      <c r="P149" s="56"/>
      <c r="Q149" s="56"/>
      <c r="R149" s="55"/>
      <c r="S149" s="55"/>
      <c r="T149" s="55"/>
    </row>
    <row r="150" spans="1:20" x14ac:dyDescent="0.3">
      <c r="A150" s="53"/>
      <c r="B150" s="53"/>
      <c r="C150" s="53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3"/>
      <c r="S150" s="53"/>
      <c r="T150" s="53"/>
    </row>
    <row r="151" spans="1:20" x14ac:dyDescent="0.3">
      <c r="A151" s="55"/>
      <c r="B151" s="55"/>
      <c r="C151" s="55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/>
      <c r="P151" s="56"/>
      <c r="Q151" s="56"/>
      <c r="R151" s="55"/>
      <c r="S151" s="55"/>
      <c r="T151" s="55"/>
    </row>
    <row r="152" spans="1:20" x14ac:dyDescent="0.3">
      <c r="A152" s="53"/>
      <c r="B152" s="53"/>
      <c r="C152" s="53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3"/>
      <c r="S152" s="53"/>
      <c r="T152" s="53"/>
    </row>
    <row r="153" spans="1:20" x14ac:dyDescent="0.3">
      <c r="A153" s="55"/>
      <c r="B153" s="55"/>
      <c r="C153" s="55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/>
      <c r="P153" s="56"/>
      <c r="Q153" s="56"/>
      <c r="R153" s="55"/>
      <c r="S153" s="55"/>
      <c r="T153" s="55"/>
    </row>
    <row r="154" spans="1:20" x14ac:dyDescent="0.3">
      <c r="A154" s="53"/>
      <c r="B154" s="53"/>
      <c r="C154" s="53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3"/>
      <c r="S154" s="53"/>
      <c r="T154" s="53"/>
    </row>
    <row r="155" spans="1:20" x14ac:dyDescent="0.3">
      <c r="A155" s="55"/>
      <c r="B155" s="55"/>
      <c r="C155" s="55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/>
      <c r="P155" s="56"/>
      <c r="Q155" s="56"/>
      <c r="R155" s="55"/>
      <c r="S155" s="55"/>
      <c r="T155" s="55"/>
    </row>
    <row r="156" spans="1:20" x14ac:dyDescent="0.3">
      <c r="A156" s="53"/>
      <c r="B156" s="53"/>
      <c r="C156" s="53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3"/>
      <c r="S156" s="53"/>
      <c r="T156" s="53"/>
    </row>
    <row r="157" spans="1:20" x14ac:dyDescent="0.3">
      <c r="A157" s="55"/>
      <c r="B157" s="55"/>
      <c r="C157" s="55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/>
      <c r="P157" s="56"/>
      <c r="Q157" s="56"/>
      <c r="R157" s="55"/>
      <c r="S157" s="55"/>
      <c r="T157" s="55"/>
    </row>
    <row r="158" spans="1:20" x14ac:dyDescent="0.3">
      <c r="A158" s="53"/>
      <c r="B158" s="53"/>
      <c r="C158" s="53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3"/>
      <c r="S158" s="53"/>
      <c r="T158" s="53"/>
    </row>
    <row r="159" spans="1:20" x14ac:dyDescent="0.3">
      <c r="A159" s="55"/>
      <c r="B159" s="55"/>
      <c r="C159" s="55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/>
      <c r="P159" s="56"/>
      <c r="Q159" s="56"/>
      <c r="R159" s="55"/>
      <c r="S159" s="55"/>
      <c r="T159" s="55"/>
    </row>
    <row r="160" spans="1:20" x14ac:dyDescent="0.3">
      <c r="A160" s="53"/>
      <c r="B160" s="53"/>
      <c r="C160" s="53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3"/>
      <c r="S160" s="53"/>
      <c r="T160" s="53"/>
    </row>
    <row r="161" spans="1:20" x14ac:dyDescent="0.3">
      <c r="A161" s="55"/>
      <c r="B161" s="55"/>
      <c r="C161" s="55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/>
      <c r="P161" s="56"/>
      <c r="Q161" s="56"/>
      <c r="R161" s="55"/>
      <c r="S161" s="55"/>
      <c r="T161" s="55"/>
    </row>
    <row r="162" spans="1:20" x14ac:dyDescent="0.3">
      <c r="A162" s="53"/>
      <c r="B162" s="53"/>
      <c r="C162" s="53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3"/>
      <c r="S162" s="53"/>
      <c r="T162" s="53"/>
    </row>
    <row r="163" spans="1:20" x14ac:dyDescent="0.3">
      <c r="A163" s="55"/>
      <c r="B163" s="55"/>
      <c r="C163" s="55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5"/>
      <c r="S163" s="55"/>
      <c r="T163" s="55"/>
    </row>
    <row r="164" spans="1:20" x14ac:dyDescent="0.3">
      <c r="A164" s="53"/>
      <c r="B164" s="53"/>
      <c r="C164" s="53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3"/>
      <c r="S164" s="53"/>
      <c r="T164" s="53"/>
    </row>
    <row r="165" spans="1:20" x14ac:dyDescent="0.3">
      <c r="A165" s="55"/>
      <c r="B165" s="55"/>
      <c r="C165" s="55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/>
      <c r="P165" s="56"/>
      <c r="Q165" s="56"/>
      <c r="R165" s="55"/>
      <c r="S165" s="55"/>
      <c r="T165" s="55"/>
    </row>
    <row r="166" spans="1:20" x14ac:dyDescent="0.3">
      <c r="A166" s="53"/>
      <c r="B166" s="53"/>
      <c r="C166" s="53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3"/>
      <c r="S166" s="53"/>
      <c r="T166" s="53"/>
    </row>
    <row r="167" spans="1:20" x14ac:dyDescent="0.3">
      <c r="A167" s="55"/>
      <c r="B167" s="55"/>
      <c r="C167" s="55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/>
      <c r="P167" s="56"/>
      <c r="Q167" s="56"/>
      <c r="R167" s="55"/>
      <c r="S167" s="55"/>
      <c r="T167" s="55"/>
    </row>
    <row r="168" spans="1:20" x14ac:dyDescent="0.3">
      <c r="A168" s="53"/>
      <c r="B168" s="53"/>
      <c r="C168" s="53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3"/>
      <c r="S168" s="53"/>
      <c r="T168" s="53"/>
    </row>
    <row r="169" spans="1:20" x14ac:dyDescent="0.3">
      <c r="A169" s="55"/>
      <c r="B169" s="55"/>
      <c r="C169" s="55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/>
      <c r="P169" s="56"/>
      <c r="Q169" s="56"/>
      <c r="R169" s="55"/>
      <c r="S169" s="55"/>
      <c r="T169" s="55"/>
    </row>
    <row r="170" spans="1:20" x14ac:dyDescent="0.3">
      <c r="A170" s="53"/>
      <c r="B170" s="53"/>
      <c r="C170" s="53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3"/>
      <c r="S170" s="53"/>
      <c r="T170" s="53"/>
    </row>
    <row r="171" spans="1:20" x14ac:dyDescent="0.3">
      <c r="A171" s="55"/>
      <c r="B171" s="55"/>
      <c r="C171" s="55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/>
      <c r="P171" s="56"/>
      <c r="Q171" s="56"/>
      <c r="R171" s="55"/>
      <c r="S171" s="55"/>
      <c r="T171" s="55"/>
    </row>
    <row r="172" spans="1:20" x14ac:dyDescent="0.3">
      <c r="A172" s="53"/>
      <c r="B172" s="53"/>
      <c r="C172" s="53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3"/>
      <c r="S172" s="53"/>
      <c r="T172" s="53"/>
    </row>
    <row r="173" spans="1:20" x14ac:dyDescent="0.3">
      <c r="A173" s="55"/>
      <c r="B173" s="55"/>
      <c r="C173" s="55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/>
      <c r="P173" s="56"/>
      <c r="Q173" s="56"/>
      <c r="R173" s="55"/>
      <c r="S173" s="55"/>
      <c r="T173" s="55"/>
    </row>
    <row r="174" spans="1:20" x14ac:dyDescent="0.3">
      <c r="A174" s="53"/>
      <c r="B174" s="53"/>
      <c r="C174" s="53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3"/>
      <c r="S174" s="53"/>
      <c r="T174" s="53"/>
    </row>
    <row r="175" spans="1:20" x14ac:dyDescent="0.3">
      <c r="A175" s="55"/>
      <c r="B175" s="55"/>
      <c r="C175" s="55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/>
      <c r="P175" s="56"/>
      <c r="Q175" s="56"/>
      <c r="R175" s="55"/>
      <c r="S175" s="55"/>
      <c r="T175" s="55"/>
    </row>
    <row r="176" spans="1:20" x14ac:dyDescent="0.3">
      <c r="A176" s="53"/>
      <c r="B176" s="53"/>
      <c r="C176" s="53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3"/>
      <c r="S176" s="53"/>
      <c r="T176" s="53"/>
    </row>
    <row r="177" spans="1:20" x14ac:dyDescent="0.3">
      <c r="A177" s="55"/>
      <c r="B177" s="55"/>
      <c r="C177" s="55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/>
      <c r="P177" s="56"/>
      <c r="Q177" s="56"/>
      <c r="R177" s="55"/>
      <c r="S177" s="55"/>
      <c r="T177" s="55"/>
    </row>
    <row r="178" spans="1:20" x14ac:dyDescent="0.3">
      <c r="A178" s="53"/>
      <c r="B178" s="53"/>
      <c r="C178" s="53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3"/>
      <c r="S178" s="53"/>
      <c r="T178" s="53"/>
    </row>
    <row r="179" spans="1:20" x14ac:dyDescent="0.3">
      <c r="A179" s="55"/>
      <c r="B179" s="55"/>
      <c r="C179" s="55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5"/>
      <c r="S179" s="55"/>
      <c r="T179" s="55"/>
    </row>
    <row r="180" spans="1:20" x14ac:dyDescent="0.3">
      <c r="A180" s="53"/>
      <c r="B180" s="53"/>
      <c r="C180" s="53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3"/>
      <c r="S180" s="53"/>
      <c r="T180" s="53"/>
    </row>
    <row r="181" spans="1:20" x14ac:dyDescent="0.3">
      <c r="A181" s="55"/>
      <c r="B181" s="55"/>
      <c r="C181" s="55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/>
      <c r="P181" s="56"/>
      <c r="Q181" s="56"/>
      <c r="R181" s="55"/>
      <c r="S181" s="55"/>
      <c r="T181" s="55"/>
    </row>
    <row r="182" spans="1:20" x14ac:dyDescent="0.3">
      <c r="A182" s="53"/>
      <c r="B182" s="53"/>
      <c r="C182" s="53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3"/>
      <c r="S182" s="53"/>
      <c r="T182" s="53"/>
    </row>
    <row r="183" spans="1:20" x14ac:dyDescent="0.3">
      <c r="A183" s="55"/>
      <c r="B183" s="55"/>
      <c r="C183" s="55"/>
      <c r="D183" s="56"/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/>
      <c r="P183" s="56"/>
      <c r="Q183" s="56"/>
      <c r="R183" s="55"/>
      <c r="S183" s="55"/>
      <c r="T183" s="55"/>
    </row>
    <row r="184" spans="1:20" x14ac:dyDescent="0.3">
      <c r="A184" s="53"/>
      <c r="B184" s="53"/>
      <c r="C184" s="53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3"/>
      <c r="S184" s="53"/>
      <c r="T184" s="53"/>
    </row>
    <row r="185" spans="1:20" x14ac:dyDescent="0.3">
      <c r="A185" s="55"/>
      <c r="B185" s="55"/>
      <c r="C185" s="55"/>
      <c r="D185" s="56"/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/>
      <c r="P185" s="56"/>
      <c r="Q185" s="56"/>
      <c r="R185" s="55"/>
      <c r="S185" s="55"/>
      <c r="T185" s="55"/>
    </row>
    <row r="186" spans="1:20" x14ac:dyDescent="0.3">
      <c r="A186" s="53"/>
      <c r="B186" s="53"/>
      <c r="C186" s="53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3"/>
      <c r="S186" s="53"/>
      <c r="T186" s="53"/>
    </row>
    <row r="187" spans="1:20" x14ac:dyDescent="0.3">
      <c r="A187" s="55"/>
      <c r="B187" s="55"/>
      <c r="C187" s="55"/>
      <c r="D187" s="56"/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/>
      <c r="P187" s="56"/>
      <c r="Q187" s="56"/>
      <c r="R187" s="55"/>
      <c r="S187" s="55"/>
      <c r="T187" s="55"/>
    </row>
    <row r="188" spans="1:20" x14ac:dyDescent="0.3">
      <c r="A188" s="53"/>
      <c r="B188" s="53"/>
      <c r="C188" s="53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3"/>
      <c r="S188" s="53"/>
      <c r="T188" s="53"/>
    </row>
    <row r="189" spans="1:20" x14ac:dyDescent="0.3">
      <c r="A189" s="55"/>
      <c r="B189" s="55"/>
      <c r="C189" s="55"/>
      <c r="D189" s="56"/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/>
      <c r="P189" s="56"/>
      <c r="Q189" s="56"/>
      <c r="R189" s="55"/>
      <c r="S189" s="55"/>
      <c r="T189" s="55"/>
    </row>
    <row r="190" spans="1:20" x14ac:dyDescent="0.3">
      <c r="A190" s="53"/>
      <c r="B190" s="53"/>
      <c r="C190" s="53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3"/>
      <c r="S190" s="53"/>
      <c r="T190" s="53"/>
    </row>
    <row r="191" spans="1:20" x14ac:dyDescent="0.3">
      <c r="A191" s="55"/>
      <c r="B191" s="55"/>
      <c r="C191" s="55"/>
      <c r="D191" s="56"/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/>
      <c r="P191" s="56"/>
      <c r="Q191" s="56"/>
      <c r="R191" s="55"/>
      <c r="S191" s="55"/>
      <c r="T191" s="55"/>
    </row>
    <row r="192" spans="1:20" x14ac:dyDescent="0.3">
      <c r="A192" s="53"/>
      <c r="B192" s="53"/>
      <c r="C192" s="53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3"/>
      <c r="S192" s="53"/>
      <c r="T192" s="53"/>
    </row>
    <row r="193" spans="1:20" x14ac:dyDescent="0.3">
      <c r="A193" s="55"/>
      <c r="B193" s="55"/>
      <c r="C193" s="55"/>
      <c r="D193" s="56"/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/>
      <c r="P193" s="56"/>
      <c r="Q193" s="56"/>
      <c r="R193" s="55"/>
      <c r="S193" s="55"/>
      <c r="T193" s="55"/>
    </row>
    <row r="194" spans="1:20" x14ac:dyDescent="0.3">
      <c r="A194" s="53"/>
      <c r="B194" s="53"/>
      <c r="C194" s="53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3"/>
      <c r="S194" s="53"/>
      <c r="T194" s="53"/>
    </row>
    <row r="195" spans="1:20" x14ac:dyDescent="0.3">
      <c r="A195" s="55"/>
      <c r="B195" s="55"/>
      <c r="C195" s="55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5"/>
      <c r="S195" s="55"/>
      <c r="T195" s="55"/>
    </row>
    <row r="196" spans="1:20" x14ac:dyDescent="0.3">
      <c r="A196" s="53"/>
      <c r="B196" s="53"/>
      <c r="C196" s="53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3"/>
      <c r="S196" s="53"/>
      <c r="T196" s="53"/>
    </row>
    <row r="197" spans="1:20" x14ac:dyDescent="0.3">
      <c r="A197" s="55"/>
      <c r="B197" s="55"/>
      <c r="C197" s="55"/>
      <c r="D197" s="56"/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/>
      <c r="P197" s="56"/>
      <c r="Q197" s="56"/>
      <c r="R197" s="55"/>
      <c r="S197" s="55"/>
      <c r="T197" s="55"/>
    </row>
    <row r="198" spans="1:20" x14ac:dyDescent="0.3">
      <c r="A198" s="53"/>
      <c r="B198" s="53"/>
      <c r="C198" s="53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3"/>
      <c r="S198" s="53"/>
      <c r="T198" s="53"/>
    </row>
    <row r="199" spans="1:20" x14ac:dyDescent="0.3">
      <c r="A199" s="55"/>
      <c r="B199" s="55"/>
      <c r="C199" s="55"/>
      <c r="D199" s="56"/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/>
      <c r="P199" s="56"/>
      <c r="Q199" s="56"/>
      <c r="R199" s="55"/>
      <c r="S199" s="55"/>
      <c r="T199" s="55"/>
    </row>
    <row r="200" spans="1:20" x14ac:dyDescent="0.3">
      <c r="A200" s="53"/>
      <c r="B200" s="53"/>
      <c r="C200" s="53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3"/>
      <c r="S200" s="53"/>
      <c r="T200" s="53"/>
    </row>
    <row r="201" spans="1:20" x14ac:dyDescent="0.3">
      <c r="A201" s="55"/>
      <c r="B201" s="55"/>
      <c r="C201" s="55"/>
      <c r="D201" s="56"/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/>
      <c r="P201" s="56"/>
      <c r="Q201" s="56"/>
      <c r="R201" s="55"/>
      <c r="S201" s="55"/>
      <c r="T201" s="55"/>
    </row>
    <row r="202" spans="1:20" x14ac:dyDescent="0.3">
      <c r="A202" s="53"/>
      <c r="B202" s="53"/>
      <c r="C202" s="53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3"/>
      <c r="S202" s="53"/>
      <c r="T202" s="53"/>
    </row>
    <row r="203" spans="1:20" x14ac:dyDescent="0.3">
      <c r="A203" s="55"/>
      <c r="B203" s="55"/>
      <c r="C203" s="55"/>
      <c r="D203" s="56"/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/>
      <c r="P203" s="56"/>
      <c r="Q203" s="56"/>
      <c r="R203" s="55"/>
      <c r="S203" s="55"/>
      <c r="T203" s="55"/>
    </row>
    <row r="204" spans="1:20" x14ac:dyDescent="0.3">
      <c r="A204" s="53"/>
      <c r="B204" s="53"/>
      <c r="C204" s="53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3"/>
      <c r="S204" s="53"/>
      <c r="T204" s="53"/>
    </row>
    <row r="205" spans="1:20" x14ac:dyDescent="0.3">
      <c r="A205" s="55"/>
      <c r="B205" s="55"/>
      <c r="C205" s="55"/>
      <c r="D205" s="56"/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/>
      <c r="P205" s="56"/>
      <c r="Q205" s="56"/>
      <c r="R205" s="55"/>
      <c r="S205" s="55"/>
      <c r="T205" s="55"/>
    </row>
    <row r="206" spans="1:20" x14ac:dyDescent="0.3">
      <c r="A206" s="53"/>
      <c r="B206" s="53"/>
      <c r="C206" s="53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3"/>
      <c r="S206" s="53"/>
      <c r="T206" s="53"/>
    </row>
    <row r="207" spans="1:20" x14ac:dyDescent="0.3">
      <c r="A207" s="55"/>
      <c r="B207" s="55"/>
      <c r="C207" s="55"/>
      <c r="D207" s="56"/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/>
      <c r="P207" s="56"/>
      <c r="Q207" s="56"/>
      <c r="R207" s="55"/>
      <c r="S207" s="55"/>
      <c r="T207" s="55"/>
    </row>
    <row r="208" spans="1:20" x14ac:dyDescent="0.3">
      <c r="A208" s="53"/>
      <c r="B208" s="53"/>
      <c r="C208" s="53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3"/>
      <c r="S208" s="53"/>
      <c r="T208" s="53"/>
    </row>
    <row r="209" spans="1:20" x14ac:dyDescent="0.3">
      <c r="A209" s="55"/>
      <c r="B209" s="55"/>
      <c r="C209" s="55"/>
      <c r="D209" s="56"/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/>
      <c r="P209" s="56"/>
      <c r="Q209" s="56"/>
      <c r="R209" s="55"/>
      <c r="S209" s="55"/>
      <c r="T209" s="55"/>
    </row>
    <row r="210" spans="1:20" x14ac:dyDescent="0.3">
      <c r="A210" s="53"/>
      <c r="B210" s="53"/>
      <c r="C210" s="53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3"/>
      <c r="S210" s="53"/>
      <c r="T210" s="53"/>
    </row>
    <row r="211" spans="1:20" x14ac:dyDescent="0.3">
      <c r="A211" s="55"/>
      <c r="B211" s="55"/>
      <c r="C211" s="55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5"/>
      <c r="S211" s="55"/>
      <c r="T211" s="55"/>
    </row>
    <row r="212" spans="1:20" x14ac:dyDescent="0.3">
      <c r="A212" s="53"/>
      <c r="B212" s="53"/>
      <c r="C212" s="53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3"/>
      <c r="S212" s="53"/>
      <c r="T212" s="53"/>
    </row>
    <row r="213" spans="1:20" x14ac:dyDescent="0.3">
      <c r="A213" s="55"/>
      <c r="B213" s="55"/>
      <c r="C213" s="55"/>
      <c r="D213" s="56"/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/>
      <c r="P213" s="56"/>
      <c r="Q213" s="56"/>
      <c r="R213" s="55"/>
      <c r="S213" s="55"/>
      <c r="T213" s="55"/>
    </row>
    <row r="214" spans="1:20" x14ac:dyDescent="0.3">
      <c r="A214" s="53"/>
      <c r="B214" s="53"/>
      <c r="C214" s="53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3"/>
      <c r="S214" s="53"/>
      <c r="T214" s="53"/>
    </row>
  </sheetData>
  <sheetProtection algorithmName="SHA-512" hashValue="/MCWLwoCgre1e01t0z/g88mSZ1JpIQ06935HV8AtGoBnGtdXgVpBkkdL1/dzWfWbKmgmhEjGG61Ocbcd/URx4g==" saltValue="YIT4dEVZQ+9P5LM6xCo4xg==" spinCount="100000" sheet="1" insertHyperlinks="0"/>
  <protectedRanges>
    <protectedRange sqref="R2:T3" name="sharepoint"/>
    <protectedRange sqref="R9:T209" name="links"/>
    <protectedRange sqref="X15 X17" name="json"/>
  </protectedRanges>
  <mergeCells count="21">
    <mergeCell ref="J1:Q1"/>
    <mergeCell ref="R1:T1"/>
    <mergeCell ref="A2:A3"/>
    <mergeCell ref="B2:I3"/>
    <mergeCell ref="R2:T3"/>
    <mergeCell ref="D1:I1"/>
    <mergeCell ref="A4:T4"/>
    <mergeCell ref="N5:Q5"/>
    <mergeCell ref="R5:R8"/>
    <mergeCell ref="S5:S8"/>
    <mergeCell ref="T5:T8"/>
    <mergeCell ref="D6:F6"/>
    <mergeCell ref="G6:J6"/>
    <mergeCell ref="K6:M6"/>
    <mergeCell ref="N6:Q6"/>
    <mergeCell ref="A5:A8"/>
    <mergeCell ref="B5:B8"/>
    <mergeCell ref="C5:C8"/>
    <mergeCell ref="D5:F5"/>
    <mergeCell ref="G5:J5"/>
    <mergeCell ref="K5:M5"/>
  </mergeCells>
  <conditionalFormatting sqref="D8:E8 N8:O8 G8:I8">
    <cfRule type="expression" dxfId="89" priority="16">
      <formula>AND(D$8&lt;&gt;"NA",D$8&gt;0)</formula>
    </cfRule>
  </conditionalFormatting>
  <conditionalFormatting sqref="N6:Q6 D6:K6">
    <cfRule type="cellIs" dxfId="88" priority="15" operator="equal">
      <formula>"Looks Perfect!"</formula>
    </cfRule>
  </conditionalFormatting>
  <conditionalFormatting sqref="N6:Q6 D6:J6">
    <cfRule type="cellIs" dxfId="87" priority="14" operator="equal">
      <formula>"Remediation required"</formula>
    </cfRule>
  </conditionalFormatting>
  <conditionalFormatting sqref="D6:J6 N6:Q6">
    <cfRule type="cellIs" dxfId="86" priority="13" operator="equal">
      <formula>"Ok to proceed"</formula>
    </cfRule>
  </conditionalFormatting>
  <conditionalFormatting sqref="K6:M6">
    <cfRule type="cellIs" dxfId="85" priority="12" operator="equal">
      <formula>"Legal team will advice!"</formula>
    </cfRule>
  </conditionalFormatting>
  <conditionalFormatting sqref="J3:Q3">
    <cfRule type="cellIs" dxfId="84" priority="2" stopIfTrue="1" operator="equal">
      <formula>"E"</formula>
    </cfRule>
    <cfRule type="cellIs" dxfId="83" priority="3" stopIfTrue="1" operator="equal">
      <formula>"D"</formula>
    </cfRule>
    <cfRule type="cellIs" dxfId="82" priority="4" stopIfTrue="1" operator="equal">
      <formula>"C"</formula>
    </cfRule>
    <cfRule type="cellIs" dxfId="81" priority="5" stopIfTrue="1" operator="equal">
      <formula>"B"</formula>
    </cfRule>
    <cfRule type="cellIs" dxfId="80" priority="6" stopIfTrue="1" operator="equal">
      <formula>"A"</formula>
    </cfRule>
  </conditionalFormatting>
  <conditionalFormatting sqref="D6:Q6">
    <cfRule type="cellIs" dxfId="79" priority="1" operator="equal">
      <formula>"Not Supported"</formula>
    </cfRule>
  </conditionalFormatting>
  <dataValidations count="1">
    <dataValidation type="list" allowBlank="1" showInputMessage="1" showErrorMessage="1" sqref="X15" xr:uid="{05365B57-5832-43B4-9E01-6250B39F4B7C}">
      <formula1>"Yes,No"</formula1>
    </dataValidation>
  </dataValidations>
  <hyperlinks>
    <hyperlink ref="R9" r:id="rId1" xr:uid="{97F39B90-C790-4202-837E-3A42217B806F}"/>
    <hyperlink ref="S9" r:id="rId2" xr:uid="{A67B6C68-453E-46E4-A324-B8F8C99381A2}"/>
    <hyperlink ref="T9" r:id="rId3" xr:uid="{F26A56E0-3AF9-4BB5-98E0-9094C65F599F}"/>
    <hyperlink ref="R10" r:id="rId4" xr:uid="{559F64CF-3BDC-4E10-ACAF-E51E6790CADB}"/>
    <hyperlink ref="S10" r:id="rId5" xr:uid="{9922A48B-98B0-40B3-8B08-7639D0C4BC6D}"/>
    <hyperlink ref="T10" r:id="rId6" xr:uid="{3DCAA204-AB63-4E0E-B218-A3B8C305F75A}"/>
    <hyperlink ref="R11" r:id="rId7" xr:uid="{D654EB06-A3CB-43CB-80FC-002AF31D798B}"/>
    <hyperlink ref="S11" r:id="rId8" xr:uid="{68FEA7BA-0FBC-4140-80D7-0F480FFD7034}"/>
    <hyperlink ref="T11" r:id="rId9" xr:uid="{480D036B-AC95-4F56-AB5D-0DF42B65632C}"/>
    <hyperlink ref="R12" r:id="rId10" xr:uid="{1066BDF9-1C0D-4FCB-8614-B3E5BCE76390}"/>
    <hyperlink ref="S12" r:id="rId11" xr:uid="{0AC86CCA-E40A-4453-9772-3FFF02A276F1}"/>
    <hyperlink ref="T12" r:id="rId12" xr:uid="{E61BE578-B6E6-4577-82DA-9F9DD3766961}"/>
    <hyperlink ref="T13" r:id="rId13" xr:uid="{813FE959-549D-442C-B2DD-FFD51D47CA93}"/>
    <hyperlink ref="R13" r:id="rId14" xr:uid="{4F3DF0F4-7FB9-42C0-94F3-53C9D76526E1}"/>
    <hyperlink ref="S13" r:id="rId15" xr:uid="{7766F84D-B15F-4C34-99FB-757CA9ED8C49}"/>
    <hyperlink ref="T14" r:id="rId16" xr:uid="{2CF8CB42-0FA5-4434-B3AB-CDE1842E7E6A}"/>
    <hyperlink ref="R14" r:id="rId17" xr:uid="{DC293E80-962D-4A01-AF3E-8DDB8A9C768E}"/>
    <hyperlink ref="S14" r:id="rId18" xr:uid="{505420A5-1C17-46D1-871C-20D194AE5755}"/>
    <hyperlink ref="T15" r:id="rId19" xr:uid="{888DC247-D7D1-4814-80F0-663195A1A885}"/>
    <hyperlink ref="S15" r:id="rId20" xr:uid="{DF3D18F8-E0ED-4828-9C7D-08667804150E}"/>
    <hyperlink ref="R15" r:id="rId21" xr:uid="{9F2E98D5-117B-4CC3-A3E0-A5E0650E7CEB}"/>
    <hyperlink ref="T21" r:id="rId22" xr:uid="{69E05165-A8D6-43D8-BC90-9CD62364DC23}"/>
    <hyperlink ref="S21" r:id="rId23" xr:uid="{603E4826-C1CF-491E-BDAA-DC29D1147593}"/>
    <hyperlink ref="R21" r:id="rId24" xr:uid="{CC45DCEE-34C9-4496-BBE4-2689511A7B0D}"/>
    <hyperlink ref="T20" r:id="rId25" xr:uid="{1908C031-D0D3-4785-A68F-6DF606AA9920}"/>
    <hyperlink ref="S20" r:id="rId26" xr:uid="{31CB80FB-5D95-4FDA-8D34-60B3F5C34679}"/>
    <hyperlink ref="R20" r:id="rId27" xr:uid="{B30F57B9-F2AF-4A47-8DBB-C3862CEB915F}"/>
    <hyperlink ref="S19" r:id="rId28" xr:uid="{B790C804-38F3-4743-B6CA-4CD766358220}"/>
    <hyperlink ref="R19" r:id="rId29" xr:uid="{B64BEC74-A240-4CF2-98E2-1FBB1931CF63}"/>
    <hyperlink ref="T19" r:id="rId30" xr:uid="{04F1AAFB-B601-4F33-8CB2-7158480398ED}"/>
    <hyperlink ref="R18" r:id="rId31" xr:uid="{62CF6AD1-90E9-430E-9F13-539D9B982B60}"/>
    <hyperlink ref="S18" r:id="rId32" xr:uid="{CE6746AD-6A61-44E6-B396-E02635AFB1BF}"/>
    <hyperlink ref="T18" r:id="rId33" xr:uid="{FFCBEBCF-7D87-4C33-A893-ADC996971789}"/>
    <hyperlink ref="S17" r:id="rId34" xr:uid="{D46534B4-758F-4409-ACE2-3B147F87FAA0}"/>
    <hyperlink ref="R17" r:id="rId35" xr:uid="{A10C536B-DBA6-4499-88BE-12B216459743}"/>
    <hyperlink ref="T17" r:id="rId36" xr:uid="{2C329D69-6FF9-42FF-867A-3D1E9910F875}"/>
    <hyperlink ref="T16" r:id="rId37" xr:uid="{17C79553-F383-4612-9620-C93E6CA40CC2}"/>
    <hyperlink ref="R16" r:id="rId38" xr:uid="{1CB1B9A2-88E7-4584-8403-EB3F6020B6C0}"/>
    <hyperlink ref="S16" r:id="rId39" xr:uid="{3AE6DCBC-2904-4CF3-89EE-F8084D46CEDA}"/>
    <hyperlink ref="R2:T3" r:id="rId40" display="Codehub link" xr:uid="{09AA38E3-7046-4204-8FFB-1AD1CB9274E7}"/>
  </hyperlinks>
  <pageMargins left="0.7" right="0.7" top="0.75" bottom="0.75" header="0.3" footer="0.3"/>
  <pageSetup orientation="portrait" horizontalDpi="300" verticalDpi="300" r:id="rId4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C1D70-19A3-4B33-9464-20847BA032F6}">
  <sheetPr codeName="Sheet7">
    <tabColor theme="5" tint="0.79998168889431442"/>
  </sheetPr>
  <dimension ref="A1:AG19"/>
  <sheetViews>
    <sheetView zoomScale="90" zoomScaleNormal="90" workbookViewId="0">
      <selection activeCell="A7" sqref="A7"/>
    </sheetView>
  </sheetViews>
  <sheetFormatPr defaultRowHeight="14.5" x14ac:dyDescent="0.35"/>
  <cols>
    <col min="7" max="8" width="10.54296875" bestFit="1" customWidth="1"/>
    <col min="31" max="31" width="9.453125" customWidth="1"/>
  </cols>
  <sheetData>
    <row r="1" spans="1:33" x14ac:dyDescent="0.35">
      <c r="A1" s="12" t="s">
        <v>4</v>
      </c>
    </row>
    <row r="2" spans="1:33" s="17" customFormat="1" ht="101.5" x14ac:dyDescent="0.35">
      <c r="B2" s="74" t="s">
        <v>86</v>
      </c>
      <c r="C2" s="74" t="s">
        <v>13</v>
      </c>
      <c r="D2" s="74" t="s">
        <v>87</v>
      </c>
      <c r="E2" s="74" t="s">
        <v>10</v>
      </c>
      <c r="F2" s="74" t="s">
        <v>63</v>
      </c>
      <c r="G2" s="74" t="s">
        <v>88</v>
      </c>
      <c r="H2" s="74" t="s">
        <v>89</v>
      </c>
      <c r="I2" s="74" t="s">
        <v>90</v>
      </c>
      <c r="J2" s="74" t="s">
        <v>65</v>
      </c>
      <c r="K2" s="74" t="s">
        <v>66</v>
      </c>
      <c r="L2" s="74" t="s">
        <v>67</v>
      </c>
      <c r="M2" s="74" t="s">
        <v>91</v>
      </c>
      <c r="N2" s="74" t="s">
        <v>92</v>
      </c>
      <c r="O2" s="74" t="s">
        <v>93</v>
      </c>
      <c r="P2" s="74" t="s">
        <v>25</v>
      </c>
      <c r="Q2" s="74" t="s">
        <v>27</v>
      </c>
      <c r="R2" s="74" t="s">
        <v>8</v>
      </c>
      <c r="S2" s="74" t="s">
        <v>94</v>
      </c>
      <c r="T2" s="74" t="s">
        <v>95</v>
      </c>
      <c r="U2" s="74" t="s">
        <v>96</v>
      </c>
      <c r="V2" s="74" t="s">
        <v>97</v>
      </c>
      <c r="W2" s="74" t="s">
        <v>98</v>
      </c>
    </row>
    <row r="3" spans="1:33" x14ac:dyDescent="0.35">
      <c r="A3" t="b">
        <f>AND(COUNTBLANK(tracker.asset.initial)=0,initial.status)</f>
        <v>1</v>
      </c>
      <c r="B3" t="s">
        <v>203</v>
      </c>
      <c r="C3" t="s">
        <v>204</v>
      </c>
      <c r="D3" t="s">
        <v>202</v>
      </c>
      <c r="E3" t="s">
        <v>146</v>
      </c>
      <c r="F3">
        <v>2.1</v>
      </c>
      <c r="G3" t="s">
        <v>205</v>
      </c>
      <c r="H3" s="75">
        <v>45232</v>
      </c>
      <c r="I3">
        <v>13</v>
      </c>
      <c r="J3" t="s">
        <v>137</v>
      </c>
      <c r="K3" t="s">
        <v>137</v>
      </c>
      <c r="L3" t="s">
        <v>137</v>
      </c>
      <c r="M3" t="s">
        <v>131</v>
      </c>
      <c r="N3" t="s">
        <v>129</v>
      </c>
      <c r="O3" t="s">
        <v>137</v>
      </c>
      <c r="P3" t="s">
        <v>133</v>
      </c>
      <c r="Q3" t="s">
        <v>129</v>
      </c>
      <c r="R3" t="s">
        <v>196</v>
      </c>
      <c r="S3" t="s">
        <v>206</v>
      </c>
      <c r="T3" t="s">
        <v>206</v>
      </c>
      <c r="U3" t="s">
        <v>196</v>
      </c>
      <c r="V3" t="s">
        <v>206</v>
      </c>
      <c r="W3" t="s">
        <v>206</v>
      </c>
    </row>
    <row r="6" spans="1:33" ht="43.5" x14ac:dyDescent="0.35">
      <c r="B6" s="74" t="s">
        <v>86</v>
      </c>
      <c r="C6" s="74" t="s">
        <v>13</v>
      </c>
      <c r="D6" s="74" t="s">
        <v>87</v>
      </c>
      <c r="E6" s="74" t="s">
        <v>63</v>
      </c>
      <c r="F6" s="74" t="s">
        <v>88</v>
      </c>
      <c r="G6" s="74" t="s">
        <v>89</v>
      </c>
      <c r="H6" s="76" t="s">
        <v>34</v>
      </c>
      <c r="I6" s="76" t="s">
        <v>35</v>
      </c>
      <c r="J6" s="76" t="s">
        <v>36</v>
      </c>
      <c r="K6" s="76" t="s">
        <v>37</v>
      </c>
      <c r="L6" s="76" t="s">
        <v>38</v>
      </c>
      <c r="M6" s="76" t="s">
        <v>39</v>
      </c>
      <c r="N6" s="76" t="s">
        <v>40</v>
      </c>
      <c r="O6" s="76" t="s">
        <v>41</v>
      </c>
      <c r="P6" s="76" t="s">
        <v>42</v>
      </c>
      <c r="Q6" s="76" t="s">
        <v>43</v>
      </c>
      <c r="R6" s="76" t="s">
        <v>44</v>
      </c>
      <c r="S6" s="77" t="s">
        <v>45</v>
      </c>
      <c r="T6" s="77" t="s">
        <v>46</v>
      </c>
      <c r="U6" s="77" t="s">
        <v>47</v>
      </c>
      <c r="V6" s="78" t="s">
        <v>48</v>
      </c>
      <c r="W6" s="78" t="s">
        <v>49</v>
      </c>
      <c r="X6" s="78" t="s">
        <v>50</v>
      </c>
      <c r="Y6" s="78" t="s">
        <v>51</v>
      </c>
      <c r="Z6" s="79" t="s">
        <v>52</v>
      </c>
      <c r="AA6" s="79" t="s">
        <v>53</v>
      </c>
      <c r="AB6" s="79" t="s">
        <v>54</v>
      </c>
      <c r="AC6" s="80" t="s">
        <v>55</v>
      </c>
      <c r="AD6" s="80" t="s">
        <v>56</v>
      </c>
      <c r="AE6" s="80" t="s">
        <v>57</v>
      </c>
      <c r="AF6" s="80" t="s">
        <v>58</v>
      </c>
      <c r="AG6" s="76" t="s">
        <v>29</v>
      </c>
    </row>
    <row r="7" spans="1:33" x14ac:dyDescent="0.35">
      <c r="A7" t="b">
        <f>AND(COUNTBLANK(B7:H7)=0,initial.status)</f>
        <v>1</v>
      </c>
      <c r="B7" t="s">
        <v>203</v>
      </c>
      <c r="C7" t="s">
        <v>204</v>
      </c>
      <c r="D7" t="s">
        <v>202</v>
      </c>
      <c r="E7">
        <v>2.1</v>
      </c>
      <c r="F7" t="s">
        <v>205</v>
      </c>
      <c r="G7" s="75">
        <v>45232</v>
      </c>
      <c r="H7" t="s">
        <v>207</v>
      </c>
      <c r="I7" t="s">
        <v>215</v>
      </c>
      <c r="J7" t="s">
        <v>206</v>
      </c>
      <c r="K7" t="s">
        <v>139</v>
      </c>
      <c r="L7" t="s">
        <v>196</v>
      </c>
      <c r="M7">
        <v>25673</v>
      </c>
      <c r="N7" t="s">
        <v>207</v>
      </c>
      <c r="O7" t="s">
        <v>137</v>
      </c>
      <c r="P7" t="s">
        <v>129</v>
      </c>
      <c r="Q7">
        <v>9.7000000000000003E-2</v>
      </c>
      <c r="R7">
        <v>0.12</v>
      </c>
      <c r="S7">
        <v>0</v>
      </c>
      <c r="T7">
        <v>20</v>
      </c>
      <c r="U7">
        <v>0</v>
      </c>
      <c r="V7">
        <v>5</v>
      </c>
      <c r="W7">
        <v>25</v>
      </c>
      <c r="X7">
        <v>30</v>
      </c>
      <c r="Y7">
        <v>1</v>
      </c>
      <c r="Z7">
        <v>4</v>
      </c>
      <c r="AA7">
        <v>17</v>
      </c>
      <c r="AB7">
        <v>0</v>
      </c>
      <c r="AC7">
        <v>1</v>
      </c>
      <c r="AD7">
        <v>2</v>
      </c>
      <c r="AE7">
        <v>23</v>
      </c>
      <c r="AF7">
        <v>17</v>
      </c>
    </row>
    <row r="8" spans="1:33" x14ac:dyDescent="0.35">
      <c r="B8" t="s">
        <v>203</v>
      </c>
      <c r="C8" t="s">
        <v>204</v>
      </c>
      <c r="D8" t="s">
        <v>202</v>
      </c>
      <c r="E8">
        <v>2.1</v>
      </c>
      <c r="F8" t="s">
        <v>205</v>
      </c>
      <c r="G8" s="75">
        <v>45232</v>
      </c>
      <c r="H8" t="s">
        <v>208</v>
      </c>
      <c r="I8" t="s">
        <v>214</v>
      </c>
      <c r="J8" t="s">
        <v>206</v>
      </c>
      <c r="K8" t="s">
        <v>206</v>
      </c>
      <c r="L8">
        <v>0</v>
      </c>
      <c r="M8">
        <v>7039</v>
      </c>
      <c r="N8" t="s">
        <v>208</v>
      </c>
      <c r="O8" t="s">
        <v>129</v>
      </c>
      <c r="P8" t="s">
        <v>129</v>
      </c>
      <c r="Q8">
        <v>1.4999999999999999E-2</v>
      </c>
      <c r="R8">
        <v>9.0999999999999998E-2</v>
      </c>
      <c r="S8">
        <v>0</v>
      </c>
      <c r="T8">
        <v>1</v>
      </c>
      <c r="U8">
        <v>0</v>
      </c>
      <c r="V8">
        <v>3</v>
      </c>
      <c r="W8">
        <v>6</v>
      </c>
      <c r="X8">
        <v>8</v>
      </c>
      <c r="Y8">
        <v>0</v>
      </c>
      <c r="Z8">
        <v>2</v>
      </c>
      <c r="AA8">
        <v>20</v>
      </c>
      <c r="AB8">
        <v>0</v>
      </c>
      <c r="AC8">
        <v>0</v>
      </c>
      <c r="AD8">
        <v>0</v>
      </c>
      <c r="AE8">
        <v>0</v>
      </c>
      <c r="AF8">
        <v>0</v>
      </c>
    </row>
    <row r="9" spans="1:33" x14ac:dyDescent="0.35">
      <c r="B9" t="s">
        <v>203</v>
      </c>
      <c r="C9" t="s">
        <v>204</v>
      </c>
      <c r="D9" t="s">
        <v>202</v>
      </c>
      <c r="E9">
        <v>2.1</v>
      </c>
      <c r="F9" t="s">
        <v>205</v>
      </c>
      <c r="G9" s="75">
        <v>45232</v>
      </c>
      <c r="H9" t="s">
        <v>209</v>
      </c>
      <c r="I9" t="s">
        <v>214</v>
      </c>
      <c r="J9" t="s">
        <v>206</v>
      </c>
      <c r="K9" t="s">
        <v>206</v>
      </c>
      <c r="L9">
        <v>0</v>
      </c>
      <c r="M9">
        <v>3410</v>
      </c>
      <c r="N9" t="s">
        <v>216</v>
      </c>
      <c r="O9" t="s">
        <v>133</v>
      </c>
      <c r="P9" t="s">
        <v>129</v>
      </c>
      <c r="Q9">
        <v>4.0000000000000001E-3</v>
      </c>
      <c r="R9">
        <v>0.104</v>
      </c>
      <c r="S9">
        <v>5</v>
      </c>
      <c r="T9">
        <v>15</v>
      </c>
      <c r="U9">
        <v>0</v>
      </c>
      <c r="V9">
        <v>4</v>
      </c>
      <c r="W9">
        <v>8</v>
      </c>
      <c r="X9">
        <v>8</v>
      </c>
      <c r="Y9">
        <v>0</v>
      </c>
      <c r="Z9">
        <v>0</v>
      </c>
      <c r="AA9">
        <v>17</v>
      </c>
      <c r="AB9">
        <v>0</v>
      </c>
      <c r="AC9">
        <v>0</v>
      </c>
      <c r="AD9">
        <v>0</v>
      </c>
      <c r="AE9">
        <v>2</v>
      </c>
      <c r="AF9">
        <v>0</v>
      </c>
    </row>
    <row r="10" spans="1:33" x14ac:dyDescent="0.35">
      <c r="B10" t="s">
        <v>203</v>
      </c>
      <c r="C10" t="s">
        <v>204</v>
      </c>
      <c r="D10" t="s">
        <v>202</v>
      </c>
      <c r="E10">
        <v>2.1</v>
      </c>
      <c r="F10" t="s">
        <v>205</v>
      </c>
      <c r="G10" s="75">
        <v>45232</v>
      </c>
      <c r="H10" t="s">
        <v>210</v>
      </c>
      <c r="I10" t="s">
        <v>214</v>
      </c>
      <c r="J10" t="s">
        <v>206</v>
      </c>
      <c r="K10" t="s">
        <v>139</v>
      </c>
      <c r="L10" t="s">
        <v>196</v>
      </c>
      <c r="M10">
        <v>7791</v>
      </c>
      <c r="N10" t="s">
        <v>217</v>
      </c>
      <c r="O10" t="s">
        <v>131</v>
      </c>
      <c r="P10" t="s">
        <v>131</v>
      </c>
      <c r="Q10">
        <v>0.38</v>
      </c>
      <c r="R10">
        <v>6.6000000000000003E-2</v>
      </c>
      <c r="S10">
        <v>0</v>
      </c>
      <c r="T10">
        <v>0</v>
      </c>
      <c r="U10">
        <v>0</v>
      </c>
      <c r="V10">
        <v>1</v>
      </c>
      <c r="W10">
        <v>5</v>
      </c>
      <c r="X10">
        <v>2</v>
      </c>
      <c r="Y10">
        <v>1</v>
      </c>
      <c r="Z10">
        <v>1</v>
      </c>
      <c r="AA10">
        <v>7</v>
      </c>
      <c r="AB10">
        <v>0</v>
      </c>
      <c r="AC10">
        <v>0</v>
      </c>
      <c r="AD10">
        <v>0</v>
      </c>
      <c r="AE10">
        <v>0</v>
      </c>
      <c r="AF10">
        <v>22</v>
      </c>
    </row>
    <row r="11" spans="1:33" x14ac:dyDescent="0.35">
      <c r="B11" t="s">
        <v>203</v>
      </c>
      <c r="C11" t="s">
        <v>204</v>
      </c>
      <c r="D11" t="s">
        <v>202</v>
      </c>
      <c r="E11">
        <v>2.1</v>
      </c>
      <c r="F11" t="s">
        <v>205</v>
      </c>
      <c r="G11" s="75">
        <v>45232</v>
      </c>
      <c r="H11" t="s">
        <v>211</v>
      </c>
      <c r="I11" t="s">
        <v>214</v>
      </c>
      <c r="J11" t="s">
        <v>206</v>
      </c>
      <c r="K11" t="s">
        <v>139</v>
      </c>
      <c r="L11" t="s">
        <v>196</v>
      </c>
      <c r="M11">
        <v>2646</v>
      </c>
      <c r="N11" t="s">
        <v>211</v>
      </c>
      <c r="O11" t="s">
        <v>129</v>
      </c>
      <c r="P11" t="s">
        <v>129</v>
      </c>
      <c r="Q11">
        <v>1.2E-2</v>
      </c>
      <c r="R11">
        <v>8.5000000000000006E-2</v>
      </c>
      <c r="S11">
        <v>0</v>
      </c>
      <c r="T11">
        <v>0</v>
      </c>
      <c r="U11">
        <v>0</v>
      </c>
      <c r="V11">
        <v>1</v>
      </c>
      <c r="W11">
        <v>4</v>
      </c>
      <c r="X11">
        <v>4</v>
      </c>
      <c r="Y11">
        <v>0</v>
      </c>
      <c r="Z11">
        <v>2</v>
      </c>
      <c r="AA11">
        <v>13</v>
      </c>
      <c r="AB11">
        <v>0</v>
      </c>
      <c r="AC11">
        <v>0</v>
      </c>
      <c r="AD11">
        <v>0</v>
      </c>
      <c r="AE11">
        <v>0</v>
      </c>
      <c r="AF11">
        <v>0</v>
      </c>
    </row>
    <row r="12" spans="1:33" x14ac:dyDescent="0.35">
      <c r="B12" t="s">
        <v>203</v>
      </c>
      <c r="C12" t="s">
        <v>204</v>
      </c>
      <c r="D12" t="s">
        <v>202</v>
      </c>
      <c r="E12">
        <v>2.1</v>
      </c>
      <c r="F12" t="s">
        <v>205</v>
      </c>
      <c r="G12" s="75">
        <v>45232</v>
      </c>
      <c r="H12" t="s">
        <v>218</v>
      </c>
      <c r="I12" t="s">
        <v>214</v>
      </c>
      <c r="J12" t="s">
        <v>206</v>
      </c>
      <c r="K12" t="s">
        <v>139</v>
      </c>
      <c r="L12" t="s">
        <v>196</v>
      </c>
      <c r="M12">
        <v>1601</v>
      </c>
      <c r="N12" t="s">
        <v>218</v>
      </c>
      <c r="O12" t="s">
        <v>129</v>
      </c>
      <c r="P12" t="s">
        <v>129</v>
      </c>
      <c r="Q12">
        <v>5.1999999999999998E-2</v>
      </c>
      <c r="R12">
        <v>4.8000000000000001E-2</v>
      </c>
      <c r="S12">
        <v>0</v>
      </c>
      <c r="T12">
        <v>0</v>
      </c>
      <c r="U12">
        <v>0</v>
      </c>
      <c r="V12">
        <v>1</v>
      </c>
      <c r="W12">
        <v>4</v>
      </c>
      <c r="X12">
        <v>4</v>
      </c>
      <c r="Y12">
        <v>0</v>
      </c>
      <c r="Z12">
        <v>2</v>
      </c>
      <c r="AA12">
        <v>13</v>
      </c>
      <c r="AB12">
        <v>0</v>
      </c>
      <c r="AC12">
        <v>0</v>
      </c>
      <c r="AD12">
        <v>0</v>
      </c>
      <c r="AE12">
        <v>0</v>
      </c>
      <c r="AF12">
        <v>0</v>
      </c>
    </row>
    <row r="13" spans="1:33" x14ac:dyDescent="0.35">
      <c r="B13" t="s">
        <v>203</v>
      </c>
      <c r="C13" t="s">
        <v>204</v>
      </c>
      <c r="D13" t="s">
        <v>202</v>
      </c>
      <c r="E13">
        <v>2.1</v>
      </c>
      <c r="F13" t="s">
        <v>205</v>
      </c>
      <c r="G13" s="75">
        <v>45232</v>
      </c>
      <c r="H13" t="s">
        <v>219</v>
      </c>
      <c r="I13" t="s">
        <v>214</v>
      </c>
      <c r="J13" t="s">
        <v>206</v>
      </c>
      <c r="K13" t="s">
        <v>139</v>
      </c>
      <c r="L13" t="s">
        <v>196</v>
      </c>
      <c r="M13">
        <v>865</v>
      </c>
      <c r="N13" t="s">
        <v>219</v>
      </c>
      <c r="O13" t="s">
        <v>129</v>
      </c>
      <c r="P13" t="s">
        <v>129</v>
      </c>
      <c r="Q13">
        <v>2.1000000000000001E-2</v>
      </c>
      <c r="R13">
        <v>7.8E-2</v>
      </c>
      <c r="S13">
        <v>0</v>
      </c>
      <c r="T13">
        <v>0</v>
      </c>
      <c r="U13">
        <v>0</v>
      </c>
      <c r="V13">
        <v>1</v>
      </c>
      <c r="W13">
        <v>4</v>
      </c>
      <c r="X13">
        <v>4</v>
      </c>
      <c r="Y13">
        <v>0</v>
      </c>
      <c r="Z13">
        <v>2</v>
      </c>
      <c r="AA13">
        <v>14</v>
      </c>
      <c r="AB13">
        <v>0</v>
      </c>
      <c r="AC13">
        <v>0</v>
      </c>
      <c r="AD13">
        <v>0</v>
      </c>
      <c r="AE13">
        <v>0</v>
      </c>
      <c r="AF13">
        <v>0</v>
      </c>
    </row>
    <row r="14" spans="1:33" x14ac:dyDescent="0.35">
      <c r="B14" t="s">
        <v>203</v>
      </c>
      <c r="C14" t="s">
        <v>204</v>
      </c>
      <c r="D14" t="s">
        <v>202</v>
      </c>
      <c r="E14">
        <v>2.1</v>
      </c>
      <c r="F14" t="s">
        <v>205</v>
      </c>
      <c r="G14" s="75">
        <v>45232</v>
      </c>
      <c r="H14" t="s">
        <v>220</v>
      </c>
      <c r="I14" t="s">
        <v>214</v>
      </c>
      <c r="J14" t="s">
        <v>206</v>
      </c>
      <c r="K14" t="s">
        <v>139</v>
      </c>
      <c r="L14" t="s">
        <v>196</v>
      </c>
      <c r="M14">
        <v>2579</v>
      </c>
      <c r="N14" t="s">
        <v>220</v>
      </c>
      <c r="O14" t="s">
        <v>129</v>
      </c>
      <c r="P14" t="s">
        <v>129</v>
      </c>
      <c r="Q14">
        <v>6.0000000000000001E-3</v>
      </c>
      <c r="R14">
        <v>8.5999999999999993E-2</v>
      </c>
      <c r="S14">
        <v>0</v>
      </c>
      <c r="T14">
        <v>0</v>
      </c>
      <c r="U14">
        <v>0</v>
      </c>
      <c r="V14">
        <v>1</v>
      </c>
      <c r="W14">
        <v>4</v>
      </c>
      <c r="X14">
        <v>4</v>
      </c>
      <c r="Y14">
        <v>0</v>
      </c>
      <c r="Z14">
        <v>2</v>
      </c>
      <c r="AA14">
        <v>14</v>
      </c>
      <c r="AB14">
        <v>0</v>
      </c>
      <c r="AC14">
        <v>0</v>
      </c>
      <c r="AD14">
        <v>0</v>
      </c>
      <c r="AE14">
        <v>0</v>
      </c>
      <c r="AF14">
        <v>0</v>
      </c>
    </row>
    <row r="15" spans="1:33" x14ac:dyDescent="0.35">
      <c r="B15" t="s">
        <v>203</v>
      </c>
      <c r="C15" t="s">
        <v>204</v>
      </c>
      <c r="D15" t="s">
        <v>202</v>
      </c>
      <c r="E15">
        <v>2.1</v>
      </c>
      <c r="F15" t="s">
        <v>205</v>
      </c>
      <c r="G15" s="75">
        <v>45232</v>
      </c>
      <c r="H15" t="s">
        <v>221</v>
      </c>
      <c r="I15" t="s">
        <v>214</v>
      </c>
      <c r="J15" t="s">
        <v>206</v>
      </c>
      <c r="K15" t="s">
        <v>139</v>
      </c>
      <c r="L15" t="s">
        <v>196</v>
      </c>
      <c r="M15">
        <v>1609</v>
      </c>
      <c r="N15" t="s">
        <v>221</v>
      </c>
      <c r="O15" t="s">
        <v>129</v>
      </c>
      <c r="P15" t="s">
        <v>129</v>
      </c>
      <c r="Q15">
        <v>9.6000000000000002E-2</v>
      </c>
      <c r="R15">
        <v>0.01</v>
      </c>
      <c r="S15">
        <v>0</v>
      </c>
      <c r="T15">
        <v>0</v>
      </c>
      <c r="U15">
        <v>0</v>
      </c>
      <c r="V15">
        <v>1</v>
      </c>
      <c r="W15">
        <v>4</v>
      </c>
      <c r="X15">
        <v>5</v>
      </c>
      <c r="Y15">
        <v>0</v>
      </c>
      <c r="Z15">
        <v>2</v>
      </c>
      <c r="AA15">
        <v>13</v>
      </c>
      <c r="AB15">
        <v>0</v>
      </c>
      <c r="AC15">
        <v>0</v>
      </c>
      <c r="AD15">
        <v>0</v>
      </c>
      <c r="AE15">
        <v>0</v>
      </c>
      <c r="AF15">
        <v>0</v>
      </c>
    </row>
    <row r="16" spans="1:33" x14ac:dyDescent="0.35">
      <c r="B16" t="s">
        <v>203</v>
      </c>
      <c r="C16" t="s">
        <v>204</v>
      </c>
      <c r="D16" t="s">
        <v>202</v>
      </c>
      <c r="E16">
        <v>2.1</v>
      </c>
      <c r="F16" t="s">
        <v>205</v>
      </c>
      <c r="G16" s="75">
        <v>45232</v>
      </c>
      <c r="H16" t="s">
        <v>222</v>
      </c>
      <c r="I16" t="s">
        <v>214</v>
      </c>
      <c r="J16" t="s">
        <v>206</v>
      </c>
      <c r="K16" t="s">
        <v>139</v>
      </c>
      <c r="L16" t="s">
        <v>196</v>
      </c>
      <c r="M16">
        <v>2329</v>
      </c>
      <c r="N16" t="s">
        <v>222</v>
      </c>
      <c r="O16" t="s">
        <v>133</v>
      </c>
      <c r="P16" t="s">
        <v>129</v>
      </c>
      <c r="Q16">
        <v>1.2E-2</v>
      </c>
      <c r="R16">
        <v>0.123</v>
      </c>
      <c r="S16">
        <v>0</v>
      </c>
      <c r="T16">
        <v>0</v>
      </c>
      <c r="U16">
        <v>0</v>
      </c>
      <c r="V16">
        <v>1</v>
      </c>
      <c r="W16">
        <v>4</v>
      </c>
      <c r="X16">
        <v>4</v>
      </c>
      <c r="Y16">
        <v>0</v>
      </c>
      <c r="Z16">
        <v>1</v>
      </c>
      <c r="AA16">
        <v>14</v>
      </c>
      <c r="AB16">
        <v>0</v>
      </c>
      <c r="AC16">
        <v>0</v>
      </c>
      <c r="AD16">
        <v>0</v>
      </c>
      <c r="AE16">
        <v>6</v>
      </c>
      <c r="AF16">
        <v>0</v>
      </c>
    </row>
    <row r="17" spans="2:32" x14ac:dyDescent="0.35">
      <c r="B17" t="s">
        <v>203</v>
      </c>
      <c r="C17" t="s">
        <v>204</v>
      </c>
      <c r="D17" t="s">
        <v>202</v>
      </c>
      <c r="E17">
        <v>2.1</v>
      </c>
      <c r="F17" t="s">
        <v>205</v>
      </c>
      <c r="G17" s="75">
        <v>45232</v>
      </c>
      <c r="H17" t="s">
        <v>225</v>
      </c>
      <c r="I17" t="s">
        <v>214</v>
      </c>
      <c r="J17" t="s">
        <v>206</v>
      </c>
      <c r="K17" t="s">
        <v>139</v>
      </c>
      <c r="L17" t="s">
        <v>196</v>
      </c>
      <c r="M17">
        <v>2646</v>
      </c>
      <c r="N17" t="s">
        <v>227</v>
      </c>
      <c r="O17" t="s">
        <v>129</v>
      </c>
      <c r="P17" t="s">
        <v>129</v>
      </c>
      <c r="Q17">
        <v>1.2999999999999999E-2</v>
      </c>
      <c r="R17">
        <v>8.5999999999999993E-2</v>
      </c>
      <c r="S17">
        <v>0</v>
      </c>
      <c r="T17">
        <v>0</v>
      </c>
      <c r="U17">
        <v>0</v>
      </c>
      <c r="V17">
        <v>1</v>
      </c>
      <c r="W17">
        <v>7</v>
      </c>
      <c r="X17">
        <v>5</v>
      </c>
      <c r="Y17">
        <v>0</v>
      </c>
      <c r="Z17">
        <v>2</v>
      </c>
      <c r="AA17">
        <v>14</v>
      </c>
      <c r="AB17">
        <v>0</v>
      </c>
      <c r="AC17">
        <v>0</v>
      </c>
      <c r="AD17">
        <v>0</v>
      </c>
      <c r="AE17">
        <v>0</v>
      </c>
      <c r="AF17">
        <v>0</v>
      </c>
    </row>
    <row r="18" spans="2:32" x14ac:dyDescent="0.35">
      <c r="B18" t="s">
        <v>203</v>
      </c>
      <c r="C18" t="s">
        <v>204</v>
      </c>
      <c r="D18" t="s">
        <v>202</v>
      </c>
      <c r="E18">
        <v>2.1</v>
      </c>
      <c r="F18" t="s">
        <v>205</v>
      </c>
      <c r="G18" s="75">
        <v>45232</v>
      </c>
      <c r="H18" t="s">
        <v>224</v>
      </c>
      <c r="I18" t="s">
        <v>214</v>
      </c>
      <c r="J18" t="s">
        <v>206</v>
      </c>
      <c r="K18" t="s">
        <v>139</v>
      </c>
      <c r="L18" t="s">
        <v>196</v>
      </c>
      <c r="M18">
        <v>2893</v>
      </c>
      <c r="N18" t="s">
        <v>226</v>
      </c>
      <c r="O18" t="s">
        <v>133</v>
      </c>
      <c r="P18" t="s">
        <v>129</v>
      </c>
      <c r="Q18">
        <v>0.01</v>
      </c>
      <c r="R18">
        <v>0.11</v>
      </c>
      <c r="S18">
        <v>0</v>
      </c>
      <c r="T18">
        <v>0</v>
      </c>
      <c r="U18">
        <v>0</v>
      </c>
      <c r="V18">
        <v>1</v>
      </c>
      <c r="W18">
        <v>8</v>
      </c>
      <c r="X18">
        <v>12</v>
      </c>
      <c r="Y18">
        <v>1</v>
      </c>
      <c r="Z18">
        <v>3</v>
      </c>
      <c r="AA18">
        <v>20</v>
      </c>
      <c r="AB18">
        <v>0</v>
      </c>
      <c r="AC18">
        <v>0</v>
      </c>
      <c r="AD18">
        <v>0</v>
      </c>
      <c r="AE18">
        <v>5</v>
      </c>
      <c r="AF18">
        <v>0</v>
      </c>
    </row>
    <row r="19" spans="2:32" x14ac:dyDescent="0.35">
      <c r="B19" t="s">
        <v>203</v>
      </c>
      <c r="C19" t="s">
        <v>204</v>
      </c>
      <c r="D19" t="s">
        <v>202</v>
      </c>
      <c r="E19">
        <v>2.1</v>
      </c>
      <c r="F19" t="s">
        <v>205</v>
      </c>
      <c r="G19" s="75">
        <v>45232</v>
      </c>
      <c r="H19" t="s">
        <v>223</v>
      </c>
      <c r="I19" t="s">
        <v>214</v>
      </c>
      <c r="J19" t="s">
        <v>206</v>
      </c>
      <c r="K19" t="s">
        <v>139</v>
      </c>
      <c r="L19" t="s">
        <v>196</v>
      </c>
      <c r="M19">
        <v>1909</v>
      </c>
      <c r="N19" t="s">
        <v>223</v>
      </c>
      <c r="O19" t="s">
        <v>133</v>
      </c>
      <c r="P19" t="s">
        <v>129</v>
      </c>
      <c r="Q19">
        <v>1.2999999999999999E-2</v>
      </c>
      <c r="R19">
        <v>0.14699999999999999</v>
      </c>
      <c r="S19">
        <v>0</v>
      </c>
      <c r="T19">
        <v>0</v>
      </c>
      <c r="U19">
        <v>0</v>
      </c>
      <c r="V19">
        <v>1</v>
      </c>
      <c r="W19">
        <v>8</v>
      </c>
      <c r="X19">
        <v>12</v>
      </c>
      <c r="Y19">
        <v>1</v>
      </c>
      <c r="Z19">
        <v>4</v>
      </c>
      <c r="AA19">
        <v>19</v>
      </c>
      <c r="AB19">
        <v>0</v>
      </c>
      <c r="AC19">
        <v>0</v>
      </c>
      <c r="AD19">
        <v>0</v>
      </c>
      <c r="AE19">
        <v>2</v>
      </c>
      <c r="AF19">
        <v>0</v>
      </c>
    </row>
  </sheetData>
  <protectedRanges>
    <protectedRange sqref="B3:W3 B7:AG107" name="tracker.initial"/>
  </protectedRange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opyAssetInitial">
                <anchor moveWithCells="1" sizeWithCells="1">
                  <from>
                    <xdr:col>0</xdr:col>
                    <xdr:colOff>50800</xdr:colOff>
                    <xdr:row>1</xdr:row>
                    <xdr:rowOff>374650</xdr:rowOff>
                  </from>
                  <to>
                    <xdr:col>0</xdr:col>
                    <xdr:colOff>527050</xdr:colOff>
                    <xdr:row>1</xdr:row>
                    <xdr:rowOff>660400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copyRepoInitial">
                <anchor moveWithCells="1" sizeWithCells="1">
                  <from>
                    <xdr:col>0</xdr:col>
                    <xdr:colOff>69850</xdr:colOff>
                    <xdr:row>5</xdr:row>
                    <xdr:rowOff>107950</xdr:rowOff>
                  </from>
                  <to>
                    <xdr:col>0</xdr:col>
                    <xdr:colOff>546100</xdr:colOff>
                    <xdr:row>5</xdr:row>
                    <xdr:rowOff>393700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D78B2-5CF3-4750-9CE7-90187D542195}">
  <sheetPr codeName="Sheet3">
    <tabColor theme="9" tint="-0.249977111117893"/>
  </sheetPr>
  <dimension ref="A1:AF107"/>
  <sheetViews>
    <sheetView topLeftCell="D4" zoomScale="85" zoomScaleNormal="85" workbookViewId="0">
      <selection activeCell="V2" sqref="V2"/>
    </sheetView>
  </sheetViews>
  <sheetFormatPr defaultRowHeight="14.5" x14ac:dyDescent="0.35"/>
  <cols>
    <col min="1" max="1" width="5.453125" customWidth="1"/>
    <col min="2" max="2" width="32.81640625" customWidth="1"/>
    <col min="3" max="4" width="10.54296875" customWidth="1"/>
    <col min="5" max="5" width="8.453125" customWidth="1"/>
    <col min="6" max="6" width="8.54296875" customWidth="1"/>
    <col min="7" max="7" width="10.453125" customWidth="1"/>
    <col min="8" max="8" width="15.453125" customWidth="1"/>
    <col min="9" max="9" width="9.453125" customWidth="1"/>
    <col min="10" max="10" width="12.453125" customWidth="1"/>
    <col min="11" max="11" width="12.1796875" customWidth="1"/>
    <col min="12" max="12" width="12.54296875" customWidth="1"/>
    <col min="18" max="18" width="9.54296875" customWidth="1"/>
    <col min="19" max="19" width="10" customWidth="1"/>
    <col min="23" max="26" width="10" customWidth="1"/>
    <col min="27" max="27" width="41.81640625" customWidth="1"/>
    <col min="28" max="28" width="10.81640625" customWidth="1"/>
  </cols>
  <sheetData>
    <row r="1" spans="1:32" x14ac:dyDescent="0.3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</row>
    <row r="2" spans="1:32" ht="48" x14ac:dyDescent="0.3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0" t="s">
        <v>99</v>
      </c>
      <c r="M2" s="39" t="s">
        <v>45</v>
      </c>
      <c r="N2" s="35" t="s">
        <v>46</v>
      </c>
      <c r="O2" s="36" t="s">
        <v>100</v>
      </c>
      <c r="P2" s="36" t="s">
        <v>101</v>
      </c>
      <c r="Q2" s="36" t="s">
        <v>102</v>
      </c>
      <c r="R2" s="37" t="s">
        <v>103</v>
      </c>
      <c r="S2" s="37" t="s">
        <v>104</v>
      </c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</row>
    <row r="3" spans="1:32" x14ac:dyDescent="0.3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38" t="s">
        <v>105</v>
      </c>
      <c r="M3" s="41"/>
      <c r="N3" s="41">
        <v>31</v>
      </c>
      <c r="O3" s="41">
        <v>2</v>
      </c>
      <c r="P3" s="41">
        <v>14</v>
      </c>
      <c r="Q3" s="41">
        <v>25</v>
      </c>
      <c r="R3" s="41">
        <v>1</v>
      </c>
      <c r="S3" s="41">
        <v>2</v>
      </c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</row>
    <row r="4" spans="1:32" x14ac:dyDescent="0.3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38" t="s">
        <v>106</v>
      </c>
      <c r="M4" s="42"/>
      <c r="N4" s="42"/>
      <c r="O4" s="42"/>
      <c r="P4" s="42"/>
      <c r="Q4" s="42"/>
      <c r="R4" s="42"/>
      <c r="S4" s="42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</row>
    <row r="5" spans="1:32" x14ac:dyDescent="0.3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4">
        <f>SUM(M3:M4)</f>
        <v>0</v>
      </c>
      <c r="N5" s="44">
        <f t="shared" ref="N5:S5" si="0">SUM(N3:N4)</f>
        <v>31</v>
      </c>
      <c r="O5" s="44">
        <f t="shared" si="0"/>
        <v>2</v>
      </c>
      <c r="P5" s="44">
        <f t="shared" si="0"/>
        <v>14</v>
      </c>
      <c r="Q5" s="44">
        <f t="shared" si="0"/>
        <v>25</v>
      </c>
      <c r="R5" s="44">
        <f t="shared" si="0"/>
        <v>1</v>
      </c>
      <c r="S5" s="44">
        <f t="shared" si="0"/>
        <v>2</v>
      </c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</row>
    <row r="6" spans="1:32" s="4" customFormat="1" x14ac:dyDescent="0.35">
      <c r="A6" s="44"/>
      <c r="B6" s="44">
        <f>COUNTA(finalScan[Repository Name])</f>
        <v>13</v>
      </c>
      <c r="C6" s="44"/>
      <c r="D6" s="44" t="str">
        <f>IF(COUNTA(finalScan[Readme?])&gt;0,IF(COUNTIF(finalScan[Readme?],"No")&gt;0,"No","Yes"),"")</f>
        <v>Yes</v>
      </c>
      <c r="E6" s="44" t="str">
        <f>IF(COUNTA(finalScan[Unit tests present?])&gt;0,IF(COUNTIF(finalScan[Unit tests present?],"Yes")&gt;0,"Yes",IF(COUNTIF(finalScan[Unit tests present?],"No")&gt;0,"No Test","NA")),"")</f>
        <v>Yes</v>
      </c>
      <c r="F6" s="45" t="str">
        <f>IF(E6="Yes",IF(COUNT(G6,AC6)=2,_xlfn.LET(_xlpm.ut,AC6/G6,IF(_xlpm.ut=0,"No Test",_xlpm.ut)),""),E6)</f>
        <v>No Test</v>
      </c>
      <c r="G6" s="44">
        <f>IF(COUNT(finalScan[No of lines])&gt;0,SUM(finalScan[No of lines]),"")</f>
        <v>61574</v>
      </c>
      <c r="H6" s="44"/>
      <c r="I6" s="44" t="str">
        <f>_xlfn.LET(_xlpm.item,finalScan[Reliability Score],IF(COUNTA(_xlpm.item)&gt;0,IF(COUNTIF(_xlpm.item,"E")&gt;0,"E",IF(COUNTIF(_xlpm.item,"D")&gt;0,"D",IF(COUNTIF(_xlpm.item,"C")&gt;0,"C",IF(COUNTIF(_xlpm.item,"B")&gt;0,"B",IF(COUNTIF(_xlpm.item,"A")&gt;0,"A","NA"))))),"NA"))</f>
        <v>C</v>
      </c>
      <c r="J6" s="44" t="str">
        <f>_xlfn.LET(_xlpm.item,finalScan[Maintainability rating],IF(COUNTA(_xlpm.item)&gt;0,IF(COUNTIF(_xlpm.item,"E")&gt;0,"E",IF(COUNTIF(_xlpm.item,"D")&gt;0,"D",IF(COUNTIF(_xlpm.item,"C")&gt;0,"C",IF(COUNTIF(_xlpm.item,"B")&gt;0,"B",IF(COUNTIF(_xlpm.item,"A")&gt;0,"A","NA"))))),"NA"))</f>
        <v>B</v>
      </c>
      <c r="K6" s="45">
        <f>IF(COUNT($G$6,AD6)=2,AD6/$G$6,"")</f>
        <v>9.7018692954818603E-2</v>
      </c>
      <c r="L6" s="45">
        <f>IF(COUNT($G$6,AE6)=2,AE6/$G$6,"")</f>
        <v>0.10323786013577158</v>
      </c>
      <c r="M6" s="44">
        <f>IF(COUNT(finalScan[SAST (High)])&gt;0,SUM(finalScan[SAST (High)])-M5,"")</f>
        <v>0</v>
      </c>
      <c r="N6" s="44">
        <f>IF(COUNT(finalScan[SAST (Medium)])&gt;0,SUM(finalScan[SAST (Medium)])-N5,"")</f>
        <v>0</v>
      </c>
      <c r="O6" s="44">
        <f>IF(COUNT(finalScan[SAST (Low)])&gt;0,SUM(finalScan[SAST (Low)]),"")</f>
        <v>0</v>
      </c>
      <c r="P6" s="44">
        <f>IF(COUNT(finalScan[FOSS -Security (Critical)])&gt;0,SUM(finalScan[FOSS -Security (Critical)])-O5,"")</f>
        <v>0</v>
      </c>
      <c r="Q6" s="44">
        <f>IF(COUNT(finalScan[FOSS -Security (High)])&gt;0,SUM(finalScan[FOSS -Security (High)])-P5,"")</f>
        <v>0</v>
      </c>
      <c r="R6" s="44">
        <f>IF(COUNT(finalScan[FOSS -Security (Medium)])&gt;0,SUM(finalScan[FOSS -Security (Medium)])-Q5,"")</f>
        <v>0</v>
      </c>
      <c r="S6" s="44">
        <f>IF(COUNT(finalScan[FOSS -Security (Low)])&gt;0,SUM(finalScan[FOSS -Security (Low)]),"")</f>
        <v>1</v>
      </c>
      <c r="T6" s="44">
        <f>IF(COUNT(finalScan[FOSS -License (High)])&gt;0,SUM(finalScan[FOSS -License (High)]),"")</f>
        <v>1</v>
      </c>
      <c r="U6" s="44">
        <f>IF(COUNT(finalScan[FOSS -License (Medium)])&gt;0,SUM(finalScan[FOSS -License (Medium)]),"")</f>
        <v>140</v>
      </c>
      <c r="V6" s="44">
        <f>IF(COUNT(finalScan[FOSS -License (Low)])&gt;0,SUM(finalScan[FOSS -License (Low)]),"")</f>
        <v>0</v>
      </c>
      <c r="W6" s="44">
        <f>IF(COUNT(finalScan[Reliability Bug (Blocker)])&gt;0,SUM(finalScan[Reliability Bug (Blocker)]),"")</f>
        <v>0</v>
      </c>
      <c r="X6" s="44">
        <f>IF(COUNT(finalScan[Reliability Bug (Critical)])&gt;0,SUM(finalScan[Reliability Bug (Critical)]),"")</f>
        <v>0</v>
      </c>
      <c r="Y6" s="44">
        <f>IF(COUNT(finalScan[Reliability Bug (Major)])&gt;0,SUM(finalScan[Reliability Bug (Major)]),"")</f>
        <v>23</v>
      </c>
      <c r="Z6" s="44">
        <f>IF(COUNT(finalScan[Reliability Bug (Minor)])&gt;0,SUM(finalScan[Reliability Bug (Minor)]),"")</f>
        <v>17</v>
      </c>
      <c r="AA6" s="44"/>
      <c r="AB6" s="44" t="b">
        <f>COUNTIF(finalScan[Complete?],FALSE)=0</f>
        <v>1</v>
      </c>
      <c r="AC6" s="44">
        <f>IF(COUNT(finalScan[unit test - lines covered])&gt;0,SUM(finalScan[unit test - lines covered]),"")</f>
        <v>0</v>
      </c>
      <c r="AD6" s="44">
        <f>IF(COUNT(finalScan[duplicated lines])&gt;0,SUM(finalScan[duplicated lines]),"")</f>
        <v>5973.8290000000006</v>
      </c>
      <c r="AE6" s="44">
        <f>IF(COUNT(finalScan[commented lines])&gt;0,SUM(finalScan[commented lines]),"")</f>
        <v>6356.7679999999991</v>
      </c>
      <c r="AF6" s="44"/>
    </row>
    <row r="7" spans="1:32" s="3" customFormat="1" ht="36" x14ac:dyDescent="0.35">
      <c r="A7" s="5" t="s">
        <v>33</v>
      </c>
      <c r="B7" s="5" t="s">
        <v>34</v>
      </c>
      <c r="C7" s="5" t="s">
        <v>35</v>
      </c>
      <c r="D7" s="5" t="s">
        <v>36</v>
      </c>
      <c r="E7" s="5" t="s">
        <v>37</v>
      </c>
      <c r="F7" s="5" t="s">
        <v>38</v>
      </c>
      <c r="G7" s="5" t="s">
        <v>39</v>
      </c>
      <c r="H7" s="5" t="s">
        <v>40</v>
      </c>
      <c r="I7" s="5" t="s">
        <v>41</v>
      </c>
      <c r="J7" s="5" t="s">
        <v>42</v>
      </c>
      <c r="K7" s="5" t="s">
        <v>43</v>
      </c>
      <c r="L7" s="5" t="s">
        <v>44</v>
      </c>
      <c r="M7" s="6" t="s">
        <v>45</v>
      </c>
      <c r="N7" s="6" t="s">
        <v>46</v>
      </c>
      <c r="O7" s="6" t="s">
        <v>47</v>
      </c>
      <c r="P7" s="7" t="s">
        <v>48</v>
      </c>
      <c r="Q7" s="7" t="s">
        <v>49</v>
      </c>
      <c r="R7" s="7" t="s">
        <v>50</v>
      </c>
      <c r="S7" s="7" t="s">
        <v>51</v>
      </c>
      <c r="T7" s="8" t="s">
        <v>52</v>
      </c>
      <c r="U7" s="8" t="s">
        <v>53</v>
      </c>
      <c r="V7" s="8" t="s">
        <v>54</v>
      </c>
      <c r="W7" s="9" t="s">
        <v>55</v>
      </c>
      <c r="X7" s="9" t="s">
        <v>56</v>
      </c>
      <c r="Y7" s="9" t="s">
        <v>57</v>
      </c>
      <c r="Z7" s="9" t="s">
        <v>58</v>
      </c>
      <c r="AA7" s="5" t="s">
        <v>29</v>
      </c>
      <c r="AB7" s="25" t="s">
        <v>59</v>
      </c>
      <c r="AC7" s="25" t="s">
        <v>60</v>
      </c>
      <c r="AD7" s="25" t="s">
        <v>61</v>
      </c>
      <c r="AE7" s="25" t="s">
        <v>62</v>
      </c>
    </row>
    <row r="8" spans="1:32" x14ac:dyDescent="0.35">
      <c r="A8" s="18">
        <v>1</v>
      </c>
      <c r="B8" s="19" t="s">
        <v>207</v>
      </c>
      <c r="C8" s="19" t="s">
        <v>215</v>
      </c>
      <c r="D8" s="19" t="s">
        <v>206</v>
      </c>
      <c r="E8" s="18" t="s">
        <v>139</v>
      </c>
      <c r="F8" s="20" t="s">
        <v>196</v>
      </c>
      <c r="G8" s="21">
        <v>25673</v>
      </c>
      <c r="H8" s="19" t="s">
        <v>207</v>
      </c>
      <c r="I8" s="18" t="s">
        <v>133</v>
      </c>
      <c r="J8" s="18" t="s">
        <v>129</v>
      </c>
      <c r="K8" s="20">
        <v>9.7000000000000003E-2</v>
      </c>
      <c r="L8" s="20">
        <v>0.12</v>
      </c>
      <c r="M8" s="18">
        <v>0</v>
      </c>
      <c r="N8" s="18">
        <v>20</v>
      </c>
      <c r="O8" s="18">
        <v>0</v>
      </c>
      <c r="P8" s="18">
        <v>1</v>
      </c>
      <c r="Q8" s="18">
        <v>13</v>
      </c>
      <c r="R8" s="18">
        <v>12</v>
      </c>
      <c r="S8" s="18">
        <v>0</v>
      </c>
      <c r="T8" s="18">
        <v>0</v>
      </c>
      <c r="U8" s="18">
        <v>1</v>
      </c>
      <c r="V8" s="18">
        <v>0</v>
      </c>
      <c r="W8" s="18">
        <v>0</v>
      </c>
      <c r="X8" s="18">
        <v>0</v>
      </c>
      <c r="Y8" s="18">
        <v>23</v>
      </c>
      <c r="Z8" s="18">
        <v>17</v>
      </c>
      <c r="AA8" s="19"/>
      <c r="AB8" s="19" t="b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>1</v>
      </c>
      <c r="AC8" s="18" t="str">
        <f>IF(COUNT(finalScan[[#This Row],[Unit test coverage]:[No of lines]])=2,finalScan[[#This Row],[Unit test coverage]]*finalScan[[#This Row],[No of lines]],"")</f>
        <v/>
      </c>
      <c r="AD8" s="18">
        <f>IF(COUNT(finalScan[[#This Row],[Duplication %]],finalScan[[#This Row],[No of lines]])=2,finalScan[[#This Row],[No of lines]]*finalScan[[#This Row],[Duplication %]],"")</f>
        <v>2490.2809999999999</v>
      </c>
      <c r="AE8" s="18">
        <f>IF(COUNT(finalScan[[#This Row],[Comments (%)]],finalScan[[#This Row],[No of lines]])=2,finalScan[[#This Row],[No of lines]]*finalScan[[#This Row],[Comments (%)]],"")</f>
        <v>3080.7599999999998</v>
      </c>
      <c r="AF8" s="43"/>
    </row>
    <row r="9" spans="1:32" x14ac:dyDescent="0.35">
      <c r="A9" s="18">
        <v>2</v>
      </c>
      <c r="B9" s="19" t="s">
        <v>208</v>
      </c>
      <c r="C9" s="19" t="s">
        <v>214</v>
      </c>
      <c r="D9" s="19" t="s">
        <v>206</v>
      </c>
      <c r="E9" s="18" t="s">
        <v>206</v>
      </c>
      <c r="F9" s="20">
        <v>0</v>
      </c>
      <c r="G9" s="21">
        <v>7039</v>
      </c>
      <c r="H9" s="19" t="s">
        <v>208</v>
      </c>
      <c r="I9" s="18" t="s">
        <v>129</v>
      </c>
      <c r="J9" s="18" t="s">
        <v>129</v>
      </c>
      <c r="K9" s="20">
        <v>1.4999999999999999E-2</v>
      </c>
      <c r="L9" s="20">
        <v>9.0999999999999998E-2</v>
      </c>
      <c r="M9" s="18">
        <v>0</v>
      </c>
      <c r="N9" s="18">
        <v>0</v>
      </c>
      <c r="O9" s="18">
        <v>0</v>
      </c>
      <c r="P9" s="18">
        <v>1</v>
      </c>
      <c r="Q9" s="18">
        <v>0</v>
      </c>
      <c r="R9" s="18">
        <v>1</v>
      </c>
      <c r="S9" s="18">
        <v>0</v>
      </c>
      <c r="T9" s="18">
        <v>0</v>
      </c>
      <c r="U9" s="18">
        <v>14</v>
      </c>
      <c r="V9" s="18">
        <v>0</v>
      </c>
      <c r="W9" s="18">
        <v>0</v>
      </c>
      <c r="X9" s="18">
        <v>0</v>
      </c>
      <c r="Y9" s="18">
        <v>0</v>
      </c>
      <c r="Z9" s="18">
        <v>0</v>
      </c>
      <c r="AA9" s="19"/>
      <c r="AB9" s="19" t="b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>1</v>
      </c>
      <c r="AC9" s="18">
        <f>IF(COUNT(finalScan[[#This Row],[Unit test coverage]:[No of lines]])=2,finalScan[[#This Row],[Unit test coverage]]*finalScan[[#This Row],[No of lines]],"")</f>
        <v>0</v>
      </c>
      <c r="AD9" s="18">
        <f>IF(COUNT(finalScan[[#This Row],[Duplication %]],finalScan[[#This Row],[No of lines]])=2,finalScan[[#This Row],[No of lines]]*finalScan[[#This Row],[Duplication %]],"")</f>
        <v>105.58499999999999</v>
      </c>
      <c r="AE9" s="18">
        <f>IF(COUNT(finalScan[[#This Row],[Comments (%)]],finalScan[[#This Row],[No of lines]])=2,finalScan[[#This Row],[No of lines]]*finalScan[[#This Row],[Comments (%)]],"")</f>
        <v>640.54899999999998</v>
      </c>
      <c r="AF9" s="43"/>
    </row>
    <row r="10" spans="1:32" x14ac:dyDescent="0.35">
      <c r="A10" s="18">
        <v>3</v>
      </c>
      <c r="B10" s="19" t="s">
        <v>209</v>
      </c>
      <c r="C10" s="19" t="s">
        <v>214</v>
      </c>
      <c r="D10" s="19" t="s">
        <v>206</v>
      </c>
      <c r="E10" s="18" t="s">
        <v>206</v>
      </c>
      <c r="F10" s="20">
        <v>0</v>
      </c>
      <c r="G10" s="21">
        <v>3394</v>
      </c>
      <c r="H10" s="19" t="s">
        <v>216</v>
      </c>
      <c r="I10" s="18" t="s">
        <v>129</v>
      </c>
      <c r="J10" s="18" t="s">
        <v>129</v>
      </c>
      <c r="K10" s="20">
        <v>4.0000000000000001E-3</v>
      </c>
      <c r="L10" s="20">
        <v>0.108</v>
      </c>
      <c r="M10" s="18">
        <v>0</v>
      </c>
      <c r="N10" s="18">
        <v>11</v>
      </c>
      <c r="O10" s="18">
        <v>0</v>
      </c>
      <c r="P10" s="18">
        <v>0</v>
      </c>
      <c r="Q10" s="18">
        <v>0</v>
      </c>
      <c r="R10" s="18">
        <v>1</v>
      </c>
      <c r="S10" s="18">
        <v>1</v>
      </c>
      <c r="T10" s="18">
        <v>1</v>
      </c>
      <c r="U10" s="18">
        <v>12</v>
      </c>
      <c r="V10" s="18">
        <v>0</v>
      </c>
      <c r="W10" s="18">
        <v>0</v>
      </c>
      <c r="X10" s="18">
        <v>0</v>
      </c>
      <c r="Y10" s="18">
        <v>0</v>
      </c>
      <c r="Z10" s="18">
        <v>0</v>
      </c>
      <c r="AA10" s="19"/>
      <c r="AB10" s="19" t="b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>1</v>
      </c>
      <c r="AC10" s="18">
        <f>IF(COUNT(finalScan[[#This Row],[Unit test coverage]:[No of lines]])=2,finalScan[[#This Row],[Unit test coverage]]*finalScan[[#This Row],[No of lines]],"")</f>
        <v>0</v>
      </c>
      <c r="AD10" s="18">
        <f>IF(COUNT(finalScan[[#This Row],[Duplication %]],finalScan[[#This Row],[No of lines]])=2,finalScan[[#This Row],[No of lines]]*finalScan[[#This Row],[Duplication %]],"")</f>
        <v>13.576000000000001</v>
      </c>
      <c r="AE10" s="18">
        <f>IF(COUNT(finalScan[[#This Row],[Comments (%)]],finalScan[[#This Row],[No of lines]])=2,finalScan[[#This Row],[No of lines]]*finalScan[[#This Row],[Comments (%)]],"")</f>
        <v>366.55200000000002</v>
      </c>
      <c r="AF10" s="43"/>
    </row>
    <row r="11" spans="1:32" x14ac:dyDescent="0.35">
      <c r="A11" s="18">
        <v>4</v>
      </c>
      <c r="B11" s="19" t="s">
        <v>210</v>
      </c>
      <c r="C11" s="19" t="s">
        <v>214</v>
      </c>
      <c r="D11" s="19" t="s">
        <v>206</v>
      </c>
      <c r="E11" s="18" t="s">
        <v>139</v>
      </c>
      <c r="F11" s="20" t="s">
        <v>196</v>
      </c>
      <c r="G11" s="21">
        <v>7778</v>
      </c>
      <c r="H11" s="19" t="s">
        <v>217</v>
      </c>
      <c r="I11" s="18" t="s">
        <v>129</v>
      </c>
      <c r="J11" s="18" t="s">
        <v>131</v>
      </c>
      <c r="K11" s="20">
        <v>0.38</v>
      </c>
      <c r="L11" s="20">
        <v>6.6000000000000003E-2</v>
      </c>
      <c r="M11" s="18">
        <v>0</v>
      </c>
      <c r="N11" s="18">
        <v>0</v>
      </c>
      <c r="O11" s="18">
        <v>0</v>
      </c>
      <c r="P11" s="18">
        <v>0</v>
      </c>
      <c r="Q11" s="18">
        <v>0</v>
      </c>
      <c r="R11" s="18">
        <v>1</v>
      </c>
      <c r="S11" s="18">
        <v>0</v>
      </c>
      <c r="T11" s="18">
        <v>0</v>
      </c>
      <c r="U11" s="18">
        <v>5</v>
      </c>
      <c r="V11" s="18">
        <v>0</v>
      </c>
      <c r="W11" s="18">
        <v>0</v>
      </c>
      <c r="X11" s="18">
        <v>0</v>
      </c>
      <c r="Y11" s="18">
        <v>0</v>
      </c>
      <c r="Z11" s="18">
        <v>0</v>
      </c>
      <c r="AA11" s="19"/>
      <c r="AB11" s="19" t="b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>1</v>
      </c>
      <c r="AC11" s="18" t="str">
        <f>IF(COUNT(finalScan[[#This Row],[Unit test coverage]:[No of lines]])=2,finalScan[[#This Row],[Unit test coverage]]*finalScan[[#This Row],[No of lines]],"")</f>
        <v/>
      </c>
      <c r="AD11" s="18">
        <f>IF(COUNT(finalScan[[#This Row],[Duplication %]],finalScan[[#This Row],[No of lines]])=2,finalScan[[#This Row],[No of lines]]*finalScan[[#This Row],[Duplication %]],"")</f>
        <v>2955.64</v>
      </c>
      <c r="AE11" s="18">
        <f>IF(COUNT(finalScan[[#This Row],[Comments (%)]],finalScan[[#This Row],[No of lines]])=2,finalScan[[#This Row],[No of lines]]*finalScan[[#This Row],[Comments (%)]],"")</f>
        <v>513.34800000000007</v>
      </c>
      <c r="AF11" s="43"/>
    </row>
    <row r="12" spans="1:32" x14ac:dyDescent="0.35">
      <c r="A12" s="18">
        <v>5</v>
      </c>
      <c r="B12" s="19" t="s">
        <v>211</v>
      </c>
      <c r="C12" s="19" t="s">
        <v>214</v>
      </c>
      <c r="D12" s="19" t="s">
        <v>206</v>
      </c>
      <c r="E12" s="18" t="s">
        <v>139</v>
      </c>
      <c r="F12" s="20" t="s">
        <v>196</v>
      </c>
      <c r="G12" s="21">
        <v>1241</v>
      </c>
      <c r="H12" s="19" t="s">
        <v>211</v>
      </c>
      <c r="I12" s="18" t="s">
        <v>129</v>
      </c>
      <c r="J12" s="18" t="s">
        <v>129</v>
      </c>
      <c r="K12" s="20">
        <v>1.7000000000000001E-2</v>
      </c>
      <c r="L12" s="20">
        <v>0.20899999999999999</v>
      </c>
      <c r="M12" s="18">
        <v>0</v>
      </c>
      <c r="N12" s="18">
        <v>0</v>
      </c>
      <c r="O12" s="18">
        <v>0</v>
      </c>
      <c r="P12" s="18">
        <v>0</v>
      </c>
      <c r="Q12" s="18">
        <v>0</v>
      </c>
      <c r="R12" s="18">
        <v>1</v>
      </c>
      <c r="S12" s="18">
        <v>0</v>
      </c>
      <c r="T12" s="18">
        <v>0</v>
      </c>
      <c r="U12" s="18">
        <v>12</v>
      </c>
      <c r="V12" s="18">
        <v>0</v>
      </c>
      <c r="W12" s="18">
        <v>0</v>
      </c>
      <c r="X12" s="18">
        <v>0</v>
      </c>
      <c r="Y12" s="18">
        <v>0</v>
      </c>
      <c r="Z12" s="18">
        <v>0</v>
      </c>
      <c r="AA12" s="19"/>
      <c r="AB12" s="19" t="b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>1</v>
      </c>
      <c r="AC12" s="18" t="str">
        <f>IF(COUNT(finalScan[[#This Row],[Unit test coverage]:[No of lines]])=2,finalScan[[#This Row],[Unit test coverage]]*finalScan[[#This Row],[No of lines]],"")</f>
        <v/>
      </c>
      <c r="AD12" s="18">
        <f>IF(COUNT(finalScan[[#This Row],[Duplication %]],finalScan[[#This Row],[No of lines]])=2,finalScan[[#This Row],[No of lines]]*finalScan[[#This Row],[Duplication %]],"")</f>
        <v>21.097000000000001</v>
      </c>
      <c r="AE12" s="18">
        <f>IF(COUNT(finalScan[[#This Row],[Comments (%)]],finalScan[[#This Row],[No of lines]])=2,finalScan[[#This Row],[No of lines]]*finalScan[[#This Row],[Comments (%)]],"")</f>
        <v>259.36899999999997</v>
      </c>
      <c r="AF12" s="43"/>
    </row>
    <row r="13" spans="1:32" x14ac:dyDescent="0.35">
      <c r="A13" s="18">
        <v>6</v>
      </c>
      <c r="B13" s="19" t="s">
        <v>218</v>
      </c>
      <c r="C13" s="19" t="s">
        <v>214</v>
      </c>
      <c r="D13" s="19" t="s">
        <v>206</v>
      </c>
      <c r="E13" s="18" t="s">
        <v>139</v>
      </c>
      <c r="F13" s="20" t="s">
        <v>196</v>
      </c>
      <c r="G13" s="21">
        <v>1601</v>
      </c>
      <c r="H13" s="19" t="s">
        <v>218</v>
      </c>
      <c r="I13" s="18" t="s">
        <v>129</v>
      </c>
      <c r="J13" s="18" t="s">
        <v>129</v>
      </c>
      <c r="K13" s="20">
        <v>5.1999999999999998E-2</v>
      </c>
      <c r="L13" s="20">
        <v>4.8000000000000001E-2</v>
      </c>
      <c r="M13" s="18">
        <v>0</v>
      </c>
      <c r="N13" s="18">
        <v>0</v>
      </c>
      <c r="O13" s="18">
        <v>0</v>
      </c>
      <c r="P13" s="18">
        <v>0</v>
      </c>
      <c r="Q13" s="18">
        <v>0</v>
      </c>
      <c r="R13" s="18">
        <v>1</v>
      </c>
      <c r="S13" s="18">
        <v>0</v>
      </c>
      <c r="T13" s="18">
        <v>0</v>
      </c>
      <c r="U13" s="18">
        <v>12</v>
      </c>
      <c r="V13" s="18">
        <v>0</v>
      </c>
      <c r="W13" s="18">
        <v>0</v>
      </c>
      <c r="X13" s="18">
        <v>0</v>
      </c>
      <c r="Y13" s="18">
        <v>0</v>
      </c>
      <c r="Z13" s="18">
        <v>0</v>
      </c>
      <c r="AA13" s="19"/>
      <c r="AB13" s="19" t="b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>1</v>
      </c>
      <c r="AC13" s="18" t="str">
        <f>IF(COUNT(finalScan[[#This Row],[Unit test coverage]:[No of lines]])=2,finalScan[[#This Row],[Unit test coverage]]*finalScan[[#This Row],[No of lines]],"")</f>
        <v/>
      </c>
      <c r="AD13" s="18">
        <f>IF(COUNT(finalScan[[#This Row],[Duplication %]],finalScan[[#This Row],[No of lines]])=2,finalScan[[#This Row],[No of lines]]*finalScan[[#This Row],[Duplication %]],"")</f>
        <v>83.251999999999995</v>
      </c>
      <c r="AE13" s="18">
        <f>IF(COUNT(finalScan[[#This Row],[Comments (%)]],finalScan[[#This Row],[No of lines]])=2,finalScan[[#This Row],[No of lines]]*finalScan[[#This Row],[Comments (%)]],"")</f>
        <v>76.847999999999999</v>
      </c>
      <c r="AF13" s="43"/>
    </row>
    <row r="14" spans="1:32" x14ac:dyDescent="0.35">
      <c r="A14" s="18">
        <v>7</v>
      </c>
      <c r="B14" s="19" t="s">
        <v>219</v>
      </c>
      <c r="C14" s="19" t="s">
        <v>214</v>
      </c>
      <c r="D14" s="19" t="s">
        <v>206</v>
      </c>
      <c r="E14" s="18" t="s">
        <v>139</v>
      </c>
      <c r="F14" s="20" t="s">
        <v>196</v>
      </c>
      <c r="G14" s="21">
        <v>865</v>
      </c>
      <c r="H14" s="19" t="s">
        <v>219</v>
      </c>
      <c r="I14" s="18" t="s">
        <v>129</v>
      </c>
      <c r="J14" s="18" t="s">
        <v>129</v>
      </c>
      <c r="K14" s="20">
        <v>2.1000000000000001E-2</v>
      </c>
      <c r="L14" s="20">
        <v>7.9000000000000001E-2</v>
      </c>
      <c r="M14" s="18">
        <v>0</v>
      </c>
      <c r="N14" s="18">
        <v>0</v>
      </c>
      <c r="O14" s="18">
        <v>0</v>
      </c>
      <c r="P14" s="18">
        <v>0</v>
      </c>
      <c r="Q14" s="18">
        <v>0</v>
      </c>
      <c r="R14" s="18">
        <v>1</v>
      </c>
      <c r="S14" s="18">
        <v>0</v>
      </c>
      <c r="T14" s="18">
        <v>0</v>
      </c>
      <c r="U14" s="18">
        <v>12</v>
      </c>
      <c r="V14" s="18">
        <v>0</v>
      </c>
      <c r="W14" s="18">
        <v>0</v>
      </c>
      <c r="X14" s="18">
        <v>0</v>
      </c>
      <c r="Y14" s="18">
        <v>0</v>
      </c>
      <c r="Z14" s="18">
        <v>0</v>
      </c>
      <c r="AA14" s="19"/>
      <c r="AB14" s="19" t="b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>1</v>
      </c>
      <c r="AC14" s="18" t="str">
        <f>IF(COUNT(finalScan[[#This Row],[Unit test coverage]:[No of lines]])=2,finalScan[[#This Row],[Unit test coverage]]*finalScan[[#This Row],[No of lines]],"")</f>
        <v/>
      </c>
      <c r="AD14" s="18">
        <f>IF(COUNT(finalScan[[#This Row],[Duplication %]],finalScan[[#This Row],[No of lines]])=2,finalScan[[#This Row],[No of lines]]*finalScan[[#This Row],[Duplication %]],"")</f>
        <v>18.165000000000003</v>
      </c>
      <c r="AE14" s="18">
        <f>IF(COUNT(finalScan[[#This Row],[Comments (%)]],finalScan[[#This Row],[No of lines]])=2,finalScan[[#This Row],[No of lines]]*finalScan[[#This Row],[Comments (%)]],"")</f>
        <v>68.334999999999994</v>
      </c>
      <c r="AF14" s="43"/>
    </row>
    <row r="15" spans="1:32" x14ac:dyDescent="0.35">
      <c r="A15" s="18">
        <v>8</v>
      </c>
      <c r="B15" s="19" t="s">
        <v>220</v>
      </c>
      <c r="C15" s="19" t="s">
        <v>214</v>
      </c>
      <c r="D15" s="19" t="s">
        <v>206</v>
      </c>
      <c r="E15" s="18" t="s">
        <v>139</v>
      </c>
      <c r="F15" s="20" t="s">
        <v>196</v>
      </c>
      <c r="G15" s="21">
        <v>2579</v>
      </c>
      <c r="H15" s="19" t="s">
        <v>220</v>
      </c>
      <c r="I15" s="18" t="s">
        <v>129</v>
      </c>
      <c r="J15" s="18" t="s">
        <v>129</v>
      </c>
      <c r="K15" s="20">
        <v>6.0000000000000001E-3</v>
      </c>
      <c r="L15" s="20">
        <v>8.5999999999999993E-2</v>
      </c>
      <c r="M15" s="18">
        <v>0</v>
      </c>
      <c r="N15" s="18">
        <v>0</v>
      </c>
      <c r="O15" s="18">
        <v>0</v>
      </c>
      <c r="P15" s="18">
        <v>0</v>
      </c>
      <c r="Q15" s="18">
        <v>0</v>
      </c>
      <c r="R15" s="18">
        <v>1</v>
      </c>
      <c r="S15" s="18">
        <v>0</v>
      </c>
      <c r="T15" s="18">
        <v>0</v>
      </c>
      <c r="U15" s="18">
        <v>12</v>
      </c>
      <c r="V15" s="18">
        <v>0</v>
      </c>
      <c r="W15" s="18">
        <v>0</v>
      </c>
      <c r="X15" s="18">
        <v>0</v>
      </c>
      <c r="Y15" s="18">
        <v>0</v>
      </c>
      <c r="Z15" s="18">
        <v>0</v>
      </c>
      <c r="AA15" s="19"/>
      <c r="AB15" s="19" t="b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>1</v>
      </c>
      <c r="AC15" s="18" t="str">
        <f>IF(COUNT(finalScan[[#This Row],[Unit test coverage]:[No of lines]])=2,finalScan[[#This Row],[Unit test coverage]]*finalScan[[#This Row],[No of lines]],"")</f>
        <v/>
      </c>
      <c r="AD15" s="18">
        <f>IF(COUNT(finalScan[[#This Row],[Duplication %]],finalScan[[#This Row],[No of lines]])=2,finalScan[[#This Row],[No of lines]]*finalScan[[#This Row],[Duplication %]],"")</f>
        <v>15.474</v>
      </c>
      <c r="AE15" s="18">
        <f>IF(COUNT(finalScan[[#This Row],[Comments (%)]],finalScan[[#This Row],[No of lines]])=2,finalScan[[#This Row],[No of lines]]*finalScan[[#This Row],[Comments (%)]],"")</f>
        <v>221.79399999999998</v>
      </c>
      <c r="AF15" s="43"/>
    </row>
    <row r="16" spans="1:32" x14ac:dyDescent="0.35">
      <c r="A16" s="18">
        <v>9</v>
      </c>
      <c r="B16" s="19" t="s">
        <v>221</v>
      </c>
      <c r="C16" s="19" t="s">
        <v>214</v>
      </c>
      <c r="D16" s="19" t="s">
        <v>206</v>
      </c>
      <c r="E16" s="18" t="s">
        <v>139</v>
      </c>
      <c r="F16" s="20" t="s">
        <v>196</v>
      </c>
      <c r="G16" s="21">
        <v>1609</v>
      </c>
      <c r="H16" s="19" t="s">
        <v>221</v>
      </c>
      <c r="I16" s="18" t="s">
        <v>129</v>
      </c>
      <c r="J16" s="18" t="s">
        <v>129</v>
      </c>
      <c r="K16" s="20">
        <v>9.6000000000000002E-2</v>
      </c>
      <c r="L16" s="20">
        <v>0.01</v>
      </c>
      <c r="M16" s="18">
        <v>0</v>
      </c>
      <c r="N16" s="18">
        <v>0</v>
      </c>
      <c r="O16" s="18">
        <v>0</v>
      </c>
      <c r="P16" s="18">
        <v>0</v>
      </c>
      <c r="Q16" s="18">
        <v>0</v>
      </c>
      <c r="R16" s="18">
        <v>1</v>
      </c>
      <c r="S16" s="18">
        <v>0</v>
      </c>
      <c r="T16" s="18">
        <v>0</v>
      </c>
      <c r="U16" s="18">
        <v>12</v>
      </c>
      <c r="V16" s="18">
        <v>0</v>
      </c>
      <c r="W16" s="18">
        <v>0</v>
      </c>
      <c r="X16" s="18">
        <v>0</v>
      </c>
      <c r="Y16" s="18">
        <v>0</v>
      </c>
      <c r="Z16" s="18">
        <v>0</v>
      </c>
      <c r="AA16" s="19"/>
      <c r="AB16" s="19" t="b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>1</v>
      </c>
      <c r="AC16" s="18" t="str">
        <f>IF(COUNT(finalScan[[#This Row],[Unit test coverage]:[No of lines]])=2,finalScan[[#This Row],[Unit test coverage]]*finalScan[[#This Row],[No of lines]],"")</f>
        <v/>
      </c>
      <c r="AD16" s="18">
        <f>IF(COUNT(finalScan[[#This Row],[Duplication %]],finalScan[[#This Row],[No of lines]])=2,finalScan[[#This Row],[No of lines]]*finalScan[[#This Row],[Duplication %]],"")</f>
        <v>154.464</v>
      </c>
      <c r="AE16" s="18">
        <f>IF(COUNT(finalScan[[#This Row],[Comments (%)]],finalScan[[#This Row],[No of lines]])=2,finalScan[[#This Row],[No of lines]]*finalScan[[#This Row],[Comments (%)]],"")</f>
        <v>16.09</v>
      </c>
      <c r="AF16" s="43"/>
    </row>
    <row r="17" spans="1:32" x14ac:dyDescent="0.35">
      <c r="A17" s="18">
        <v>10</v>
      </c>
      <c r="B17" s="19" t="s">
        <v>222</v>
      </c>
      <c r="C17" s="19" t="s">
        <v>214</v>
      </c>
      <c r="D17" s="19" t="s">
        <v>206</v>
      </c>
      <c r="E17" s="18" t="s">
        <v>139</v>
      </c>
      <c r="F17" s="20" t="s">
        <v>196</v>
      </c>
      <c r="G17" s="21">
        <v>2337</v>
      </c>
      <c r="H17" s="19" t="s">
        <v>222</v>
      </c>
      <c r="I17" s="18" t="s">
        <v>129</v>
      </c>
      <c r="J17" s="18" t="s">
        <v>129</v>
      </c>
      <c r="K17" s="20">
        <v>1.2E-2</v>
      </c>
      <c r="L17" s="20">
        <v>0.123</v>
      </c>
      <c r="M17" s="18">
        <v>0</v>
      </c>
      <c r="N17" s="18">
        <v>0</v>
      </c>
      <c r="O17" s="18">
        <v>0</v>
      </c>
      <c r="P17" s="18">
        <v>0</v>
      </c>
      <c r="Q17" s="18">
        <v>0</v>
      </c>
      <c r="R17" s="18">
        <v>1</v>
      </c>
      <c r="S17" s="18">
        <v>0</v>
      </c>
      <c r="T17" s="18">
        <v>0</v>
      </c>
      <c r="U17" s="18">
        <v>12</v>
      </c>
      <c r="V17" s="18">
        <v>0</v>
      </c>
      <c r="W17" s="18">
        <v>0</v>
      </c>
      <c r="X17" s="18">
        <v>0</v>
      </c>
      <c r="Y17" s="18">
        <v>0</v>
      </c>
      <c r="Z17" s="18">
        <v>0</v>
      </c>
      <c r="AA17" s="19"/>
      <c r="AB17" s="19" t="b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>1</v>
      </c>
      <c r="AC17" s="18" t="str">
        <f>IF(COUNT(finalScan[[#This Row],[Unit test coverage]:[No of lines]])=2,finalScan[[#This Row],[Unit test coverage]]*finalScan[[#This Row],[No of lines]],"")</f>
        <v/>
      </c>
      <c r="AD17" s="18">
        <f>IF(COUNT(finalScan[[#This Row],[Duplication %]],finalScan[[#This Row],[No of lines]])=2,finalScan[[#This Row],[No of lines]]*finalScan[[#This Row],[Duplication %]],"")</f>
        <v>28.044</v>
      </c>
      <c r="AE17" s="18">
        <f>IF(COUNT(finalScan[[#This Row],[Comments (%)]],finalScan[[#This Row],[No of lines]])=2,finalScan[[#This Row],[No of lines]]*finalScan[[#This Row],[Comments (%)]],"")</f>
        <v>287.45100000000002</v>
      </c>
      <c r="AF17" s="43"/>
    </row>
    <row r="18" spans="1:32" x14ac:dyDescent="0.35">
      <c r="A18" s="18">
        <v>11</v>
      </c>
      <c r="B18" s="19" t="s">
        <v>225</v>
      </c>
      <c r="C18" s="19" t="s">
        <v>214</v>
      </c>
      <c r="D18" s="19" t="s">
        <v>206</v>
      </c>
      <c r="E18" s="18" t="s">
        <v>139</v>
      </c>
      <c r="F18" s="20" t="s">
        <v>196</v>
      </c>
      <c r="G18" s="21">
        <v>2646</v>
      </c>
      <c r="H18" s="19" t="s">
        <v>227</v>
      </c>
      <c r="I18" s="18" t="s">
        <v>129</v>
      </c>
      <c r="J18" s="18" t="s">
        <v>129</v>
      </c>
      <c r="K18" s="20">
        <v>1.2999999999999999E-2</v>
      </c>
      <c r="L18" s="20">
        <v>8.5999999999999993E-2</v>
      </c>
      <c r="M18" s="18">
        <v>0</v>
      </c>
      <c r="N18" s="18">
        <v>0</v>
      </c>
      <c r="O18" s="18">
        <v>0</v>
      </c>
      <c r="P18" s="18">
        <v>0</v>
      </c>
      <c r="Q18" s="18">
        <v>1</v>
      </c>
      <c r="R18" s="18">
        <v>2</v>
      </c>
      <c r="S18" s="18">
        <v>0</v>
      </c>
      <c r="T18" s="18">
        <v>0</v>
      </c>
      <c r="U18" s="18">
        <v>12</v>
      </c>
      <c r="V18" s="18">
        <v>0</v>
      </c>
      <c r="W18" s="18">
        <v>0</v>
      </c>
      <c r="X18" s="18">
        <v>0</v>
      </c>
      <c r="Y18" s="18">
        <v>0</v>
      </c>
      <c r="Z18" s="18">
        <v>0</v>
      </c>
      <c r="AA18" s="19"/>
      <c r="AB18" s="19" t="b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>1</v>
      </c>
      <c r="AC18" s="18" t="str">
        <f>IF(COUNT(finalScan[[#This Row],[Unit test coverage]:[No of lines]])=2,finalScan[[#This Row],[Unit test coverage]]*finalScan[[#This Row],[No of lines]],"")</f>
        <v/>
      </c>
      <c r="AD18" s="18">
        <f>IF(COUNT(finalScan[[#This Row],[Duplication %]],finalScan[[#This Row],[No of lines]])=2,finalScan[[#This Row],[No of lines]]*finalScan[[#This Row],[Duplication %]],"")</f>
        <v>34.397999999999996</v>
      </c>
      <c r="AE18" s="18">
        <f>IF(COUNT(finalScan[[#This Row],[Comments (%)]],finalScan[[#This Row],[No of lines]])=2,finalScan[[#This Row],[No of lines]]*finalScan[[#This Row],[Comments (%)]],"")</f>
        <v>227.55599999999998</v>
      </c>
      <c r="AF18" s="43"/>
    </row>
    <row r="19" spans="1:32" x14ac:dyDescent="0.35">
      <c r="A19" s="18">
        <v>12</v>
      </c>
      <c r="B19" s="19" t="s">
        <v>224</v>
      </c>
      <c r="C19" s="19" t="s">
        <v>214</v>
      </c>
      <c r="D19" s="19" t="s">
        <v>206</v>
      </c>
      <c r="E19" s="18" t="s">
        <v>139</v>
      </c>
      <c r="F19" s="20" t="s">
        <v>196</v>
      </c>
      <c r="G19" s="21">
        <v>2901</v>
      </c>
      <c r="H19" s="19" t="s">
        <v>226</v>
      </c>
      <c r="I19" s="18" t="s">
        <v>129</v>
      </c>
      <c r="J19" s="18" t="s">
        <v>129</v>
      </c>
      <c r="K19" s="20">
        <v>0.01</v>
      </c>
      <c r="L19" s="20">
        <v>0.11</v>
      </c>
      <c r="M19" s="18">
        <v>0</v>
      </c>
      <c r="N19" s="18">
        <v>0</v>
      </c>
      <c r="O19" s="18">
        <v>0</v>
      </c>
      <c r="P19" s="18">
        <v>0</v>
      </c>
      <c r="Q19" s="18">
        <v>0</v>
      </c>
      <c r="R19" s="18">
        <v>1</v>
      </c>
      <c r="S19" s="18">
        <v>0</v>
      </c>
      <c r="T19" s="18">
        <v>0</v>
      </c>
      <c r="U19" s="18">
        <v>12</v>
      </c>
      <c r="V19" s="18">
        <v>0</v>
      </c>
      <c r="W19" s="18">
        <v>0</v>
      </c>
      <c r="X19" s="18">
        <v>0</v>
      </c>
      <c r="Y19" s="18">
        <v>0</v>
      </c>
      <c r="Z19" s="18">
        <v>0</v>
      </c>
      <c r="AA19" s="19"/>
      <c r="AB19" s="19" t="b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>1</v>
      </c>
      <c r="AC19" s="18" t="str">
        <f>IF(COUNT(finalScan[[#This Row],[Unit test coverage]:[No of lines]])=2,finalScan[[#This Row],[Unit test coverage]]*finalScan[[#This Row],[No of lines]],"")</f>
        <v/>
      </c>
      <c r="AD19" s="18">
        <f>IF(COUNT(finalScan[[#This Row],[Duplication %]],finalScan[[#This Row],[No of lines]])=2,finalScan[[#This Row],[No of lines]]*finalScan[[#This Row],[Duplication %]],"")</f>
        <v>29.01</v>
      </c>
      <c r="AE19" s="18">
        <f>IF(COUNT(finalScan[[#This Row],[Comments (%)]],finalScan[[#This Row],[No of lines]])=2,finalScan[[#This Row],[No of lines]]*finalScan[[#This Row],[Comments (%)]],"")</f>
        <v>319.11</v>
      </c>
      <c r="AF19" s="43"/>
    </row>
    <row r="20" spans="1:32" x14ac:dyDescent="0.35">
      <c r="A20" s="18">
        <v>13</v>
      </c>
      <c r="B20" s="19" t="s">
        <v>223</v>
      </c>
      <c r="C20" s="19" t="s">
        <v>214</v>
      </c>
      <c r="D20" s="19" t="s">
        <v>206</v>
      </c>
      <c r="E20" s="18" t="s">
        <v>139</v>
      </c>
      <c r="F20" s="20" t="s">
        <v>196</v>
      </c>
      <c r="G20" s="21">
        <v>1911</v>
      </c>
      <c r="H20" s="19" t="s">
        <v>223</v>
      </c>
      <c r="I20" s="18" t="s">
        <v>129</v>
      </c>
      <c r="J20" s="18" t="s">
        <v>129</v>
      </c>
      <c r="K20" s="20">
        <v>1.2999999999999999E-2</v>
      </c>
      <c r="L20" s="20">
        <v>0.14599999999999999</v>
      </c>
      <c r="M20" s="18">
        <v>0</v>
      </c>
      <c r="N20" s="18">
        <v>0</v>
      </c>
      <c r="O20" s="18">
        <v>0</v>
      </c>
      <c r="P20" s="18">
        <v>0</v>
      </c>
      <c r="Q20" s="18">
        <v>0</v>
      </c>
      <c r="R20" s="18">
        <v>1</v>
      </c>
      <c r="S20" s="18">
        <v>0</v>
      </c>
      <c r="T20" s="18">
        <v>0</v>
      </c>
      <c r="U20" s="18">
        <v>12</v>
      </c>
      <c r="V20" s="18">
        <v>0</v>
      </c>
      <c r="W20" s="18">
        <v>0</v>
      </c>
      <c r="X20" s="18">
        <v>0</v>
      </c>
      <c r="Y20" s="18">
        <v>0</v>
      </c>
      <c r="Z20" s="18">
        <v>0</v>
      </c>
      <c r="AA20" s="19"/>
      <c r="AB20" s="19" t="b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>1</v>
      </c>
      <c r="AC20" s="18" t="str">
        <f>IF(COUNT(finalScan[[#This Row],[Unit test coverage]:[No of lines]])=2,finalScan[[#This Row],[Unit test coverage]]*finalScan[[#This Row],[No of lines]],"")</f>
        <v/>
      </c>
      <c r="AD20" s="18">
        <f>IF(COUNT(finalScan[[#This Row],[Duplication %]],finalScan[[#This Row],[No of lines]])=2,finalScan[[#This Row],[No of lines]]*finalScan[[#This Row],[Duplication %]],"")</f>
        <v>24.843</v>
      </c>
      <c r="AE20" s="18">
        <f>IF(COUNT(finalScan[[#This Row],[Comments (%)]],finalScan[[#This Row],[No of lines]])=2,finalScan[[#This Row],[No of lines]]*finalScan[[#This Row],[Comments (%)]],"")</f>
        <v>279.00599999999997</v>
      </c>
      <c r="AF20" s="43"/>
    </row>
    <row r="21" spans="1:32" x14ac:dyDescent="0.35">
      <c r="A21" s="18">
        <v>14</v>
      </c>
      <c r="B21" s="19"/>
      <c r="C21" s="19"/>
      <c r="D21" s="19"/>
      <c r="E21" s="18"/>
      <c r="F21" s="20"/>
      <c r="G21" s="21"/>
      <c r="H21" s="19"/>
      <c r="I21" s="18"/>
      <c r="J21" s="18"/>
      <c r="K21" s="20"/>
      <c r="L21" s="20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9"/>
      <c r="AB21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21" s="18" t="str">
        <f>IF(COUNT(finalScan[[#This Row],[Unit test coverage]:[No of lines]])=2,finalScan[[#This Row],[Unit test coverage]]*finalScan[[#This Row],[No of lines]],"")</f>
        <v/>
      </c>
      <c r="AD21" s="18" t="str">
        <f>IF(COUNT(finalScan[[#This Row],[Duplication %]],finalScan[[#This Row],[No of lines]])=2,finalScan[[#This Row],[No of lines]]*finalScan[[#This Row],[Duplication %]],"")</f>
        <v/>
      </c>
      <c r="AE21" s="18" t="str">
        <f>IF(COUNT(finalScan[[#This Row],[Comments (%)]],finalScan[[#This Row],[No of lines]])=2,finalScan[[#This Row],[No of lines]]*finalScan[[#This Row],[Comments (%)]],"")</f>
        <v/>
      </c>
      <c r="AF21" s="43"/>
    </row>
    <row r="22" spans="1:32" x14ac:dyDescent="0.35">
      <c r="A22" s="18">
        <v>15</v>
      </c>
      <c r="B22" s="19"/>
      <c r="C22" s="19"/>
      <c r="D22" s="19"/>
      <c r="E22" s="18"/>
      <c r="F22" s="20"/>
      <c r="G22" s="21"/>
      <c r="H22" s="19"/>
      <c r="I22" s="18"/>
      <c r="J22" s="18"/>
      <c r="K22" s="20"/>
      <c r="L22" s="20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9"/>
      <c r="AB22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22" s="18" t="str">
        <f>IF(COUNT(finalScan[[#This Row],[Unit test coverage]:[No of lines]])=2,finalScan[[#This Row],[Unit test coverage]]*finalScan[[#This Row],[No of lines]],"")</f>
        <v/>
      </c>
      <c r="AD22" s="18" t="str">
        <f>IF(COUNT(finalScan[[#This Row],[Duplication %]],finalScan[[#This Row],[No of lines]])=2,finalScan[[#This Row],[No of lines]]*finalScan[[#This Row],[Duplication %]],"")</f>
        <v/>
      </c>
      <c r="AE22" s="18" t="str">
        <f>IF(COUNT(finalScan[[#This Row],[Comments (%)]],finalScan[[#This Row],[No of lines]])=2,finalScan[[#This Row],[No of lines]]*finalScan[[#This Row],[Comments (%)]],"")</f>
        <v/>
      </c>
      <c r="AF22" s="43"/>
    </row>
    <row r="23" spans="1:32" x14ac:dyDescent="0.35">
      <c r="A23" s="18">
        <v>16</v>
      </c>
      <c r="B23" s="19"/>
      <c r="C23" s="19"/>
      <c r="D23" s="19"/>
      <c r="E23" s="18"/>
      <c r="F23" s="20"/>
      <c r="G23" s="21"/>
      <c r="H23" s="19"/>
      <c r="I23" s="18"/>
      <c r="J23" s="18"/>
      <c r="K23" s="20"/>
      <c r="L23" s="20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9"/>
      <c r="AB23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23" s="18" t="str">
        <f>IF(COUNT(finalScan[[#This Row],[Unit test coverage]:[No of lines]])=2,finalScan[[#This Row],[Unit test coverage]]*finalScan[[#This Row],[No of lines]],"")</f>
        <v/>
      </c>
      <c r="AD23" s="18" t="str">
        <f>IF(COUNT(finalScan[[#This Row],[Duplication %]],finalScan[[#This Row],[No of lines]])=2,finalScan[[#This Row],[No of lines]]*finalScan[[#This Row],[Duplication %]],"")</f>
        <v/>
      </c>
      <c r="AE23" s="18" t="str">
        <f>IF(COUNT(finalScan[[#This Row],[Comments (%)]],finalScan[[#This Row],[No of lines]])=2,finalScan[[#This Row],[No of lines]]*finalScan[[#This Row],[Comments (%)]],"")</f>
        <v/>
      </c>
      <c r="AF23" s="43"/>
    </row>
    <row r="24" spans="1:32" x14ac:dyDescent="0.35">
      <c r="A24" s="18">
        <v>17</v>
      </c>
      <c r="B24" s="19"/>
      <c r="C24" s="19"/>
      <c r="D24" s="19"/>
      <c r="E24" s="18"/>
      <c r="F24" s="20"/>
      <c r="G24" s="21"/>
      <c r="H24" s="19"/>
      <c r="I24" s="18"/>
      <c r="J24" s="18"/>
      <c r="K24" s="20"/>
      <c r="L24" s="20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9"/>
      <c r="AB24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24" s="18" t="str">
        <f>IF(COUNT(finalScan[[#This Row],[Unit test coverage]:[No of lines]])=2,finalScan[[#This Row],[Unit test coverage]]*finalScan[[#This Row],[No of lines]],"")</f>
        <v/>
      </c>
      <c r="AD24" s="18" t="str">
        <f>IF(COUNT(finalScan[[#This Row],[Duplication %]],finalScan[[#This Row],[No of lines]])=2,finalScan[[#This Row],[No of lines]]*finalScan[[#This Row],[Duplication %]],"")</f>
        <v/>
      </c>
      <c r="AE24" s="18" t="str">
        <f>IF(COUNT(finalScan[[#This Row],[Comments (%)]],finalScan[[#This Row],[No of lines]])=2,finalScan[[#This Row],[No of lines]]*finalScan[[#This Row],[Comments (%)]],"")</f>
        <v/>
      </c>
      <c r="AF24" s="43"/>
    </row>
    <row r="25" spans="1:32" x14ac:dyDescent="0.35">
      <c r="A25" s="18">
        <v>18</v>
      </c>
      <c r="B25" s="19"/>
      <c r="C25" s="19"/>
      <c r="D25" s="19"/>
      <c r="E25" s="18"/>
      <c r="F25" s="20"/>
      <c r="G25" s="21"/>
      <c r="H25" s="19"/>
      <c r="I25" s="18"/>
      <c r="J25" s="18"/>
      <c r="K25" s="20"/>
      <c r="L25" s="20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9"/>
      <c r="AB25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25" s="18" t="str">
        <f>IF(COUNT(finalScan[[#This Row],[Unit test coverage]:[No of lines]])=2,finalScan[[#This Row],[Unit test coverage]]*finalScan[[#This Row],[No of lines]],"")</f>
        <v/>
      </c>
      <c r="AD25" s="18" t="str">
        <f>IF(COUNT(finalScan[[#This Row],[Duplication %]],finalScan[[#This Row],[No of lines]])=2,finalScan[[#This Row],[No of lines]]*finalScan[[#This Row],[Duplication %]],"")</f>
        <v/>
      </c>
      <c r="AE25" s="18" t="str">
        <f>IF(COUNT(finalScan[[#This Row],[Comments (%)]],finalScan[[#This Row],[No of lines]])=2,finalScan[[#This Row],[No of lines]]*finalScan[[#This Row],[Comments (%)]],"")</f>
        <v/>
      </c>
      <c r="AF25" s="43"/>
    </row>
    <row r="26" spans="1:32" x14ac:dyDescent="0.35">
      <c r="A26" s="18">
        <v>19</v>
      </c>
      <c r="B26" s="19"/>
      <c r="C26" s="19"/>
      <c r="D26" s="19"/>
      <c r="E26" s="18"/>
      <c r="F26" s="20"/>
      <c r="G26" s="21"/>
      <c r="H26" s="19"/>
      <c r="I26" s="18"/>
      <c r="J26" s="18"/>
      <c r="K26" s="20"/>
      <c r="L26" s="20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9"/>
      <c r="AB26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26" s="18" t="str">
        <f>IF(COUNT(finalScan[[#This Row],[Unit test coverage]:[No of lines]])=2,finalScan[[#This Row],[Unit test coverage]]*finalScan[[#This Row],[No of lines]],"")</f>
        <v/>
      </c>
      <c r="AD26" s="18" t="str">
        <f>IF(COUNT(finalScan[[#This Row],[Duplication %]],finalScan[[#This Row],[No of lines]])=2,finalScan[[#This Row],[No of lines]]*finalScan[[#This Row],[Duplication %]],"")</f>
        <v/>
      </c>
      <c r="AE26" s="18" t="str">
        <f>IF(COUNT(finalScan[[#This Row],[Comments (%)]],finalScan[[#This Row],[No of lines]])=2,finalScan[[#This Row],[No of lines]]*finalScan[[#This Row],[Comments (%)]],"")</f>
        <v/>
      </c>
      <c r="AF26" s="43"/>
    </row>
    <row r="27" spans="1:32" x14ac:dyDescent="0.35">
      <c r="A27" s="18">
        <v>20</v>
      </c>
      <c r="B27" s="19"/>
      <c r="C27" s="19"/>
      <c r="D27" s="19"/>
      <c r="E27" s="18"/>
      <c r="F27" s="20"/>
      <c r="G27" s="21"/>
      <c r="H27" s="19"/>
      <c r="I27" s="18"/>
      <c r="J27" s="18"/>
      <c r="K27" s="20"/>
      <c r="L27" s="20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9"/>
      <c r="AB27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27" s="18" t="str">
        <f>IF(COUNT(finalScan[[#This Row],[Unit test coverage]:[No of lines]])=2,finalScan[[#This Row],[Unit test coverage]]*finalScan[[#This Row],[No of lines]],"")</f>
        <v/>
      </c>
      <c r="AD27" s="18" t="str">
        <f>IF(COUNT(finalScan[[#This Row],[Duplication %]],finalScan[[#This Row],[No of lines]])=2,finalScan[[#This Row],[No of lines]]*finalScan[[#This Row],[Duplication %]],"")</f>
        <v/>
      </c>
      <c r="AE27" s="18" t="str">
        <f>IF(COUNT(finalScan[[#This Row],[Comments (%)]],finalScan[[#This Row],[No of lines]])=2,finalScan[[#This Row],[No of lines]]*finalScan[[#This Row],[Comments (%)]],"")</f>
        <v/>
      </c>
      <c r="AF27" s="43"/>
    </row>
    <row r="28" spans="1:32" x14ac:dyDescent="0.35">
      <c r="A28" s="18">
        <v>21</v>
      </c>
      <c r="B28" s="19"/>
      <c r="C28" s="19"/>
      <c r="D28" s="19"/>
      <c r="E28" s="18"/>
      <c r="F28" s="20"/>
      <c r="G28" s="21"/>
      <c r="H28" s="19"/>
      <c r="I28" s="18"/>
      <c r="J28" s="18"/>
      <c r="K28" s="20"/>
      <c r="L28" s="20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9"/>
      <c r="AB28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28" s="18" t="str">
        <f>IF(COUNT(finalScan[[#This Row],[Unit test coverage]:[No of lines]])=2,finalScan[[#This Row],[Unit test coverage]]*finalScan[[#This Row],[No of lines]],"")</f>
        <v/>
      </c>
      <c r="AD28" s="18" t="str">
        <f>IF(COUNT(finalScan[[#This Row],[Duplication %]],finalScan[[#This Row],[No of lines]])=2,finalScan[[#This Row],[No of lines]]*finalScan[[#This Row],[Duplication %]],"")</f>
        <v/>
      </c>
      <c r="AE28" s="18" t="str">
        <f>IF(COUNT(finalScan[[#This Row],[Comments (%)]],finalScan[[#This Row],[No of lines]])=2,finalScan[[#This Row],[No of lines]]*finalScan[[#This Row],[Comments (%)]],"")</f>
        <v/>
      </c>
      <c r="AF28" s="43"/>
    </row>
    <row r="29" spans="1:32" x14ac:dyDescent="0.35">
      <c r="A29" s="18">
        <v>22</v>
      </c>
      <c r="B29" s="19"/>
      <c r="C29" s="19"/>
      <c r="D29" s="19"/>
      <c r="E29" s="18"/>
      <c r="F29" s="20"/>
      <c r="G29" s="21"/>
      <c r="H29" s="19"/>
      <c r="I29" s="18"/>
      <c r="J29" s="18"/>
      <c r="K29" s="20"/>
      <c r="L29" s="20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9"/>
      <c r="AB29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29" s="18" t="str">
        <f>IF(COUNT(finalScan[[#This Row],[Unit test coverage]:[No of lines]])=2,finalScan[[#This Row],[Unit test coverage]]*finalScan[[#This Row],[No of lines]],"")</f>
        <v/>
      </c>
      <c r="AD29" s="18" t="str">
        <f>IF(COUNT(finalScan[[#This Row],[Duplication %]],finalScan[[#This Row],[No of lines]])=2,finalScan[[#This Row],[No of lines]]*finalScan[[#This Row],[Duplication %]],"")</f>
        <v/>
      </c>
      <c r="AE29" s="18" t="str">
        <f>IF(COUNT(finalScan[[#This Row],[Comments (%)]],finalScan[[#This Row],[No of lines]])=2,finalScan[[#This Row],[No of lines]]*finalScan[[#This Row],[Comments (%)]],"")</f>
        <v/>
      </c>
      <c r="AF29" s="43"/>
    </row>
    <row r="30" spans="1:32" x14ac:dyDescent="0.35">
      <c r="A30" s="18">
        <v>23</v>
      </c>
      <c r="B30" s="19"/>
      <c r="C30" s="19"/>
      <c r="D30" s="19"/>
      <c r="E30" s="18"/>
      <c r="F30" s="20"/>
      <c r="G30" s="21"/>
      <c r="H30" s="19"/>
      <c r="I30" s="18"/>
      <c r="J30" s="18"/>
      <c r="K30" s="20"/>
      <c r="L30" s="20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9"/>
      <c r="AB30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30" s="18" t="str">
        <f>IF(COUNT(finalScan[[#This Row],[Unit test coverage]:[No of lines]])=2,finalScan[[#This Row],[Unit test coverage]]*finalScan[[#This Row],[No of lines]],"")</f>
        <v/>
      </c>
      <c r="AD30" s="18" t="str">
        <f>IF(COUNT(finalScan[[#This Row],[Duplication %]],finalScan[[#This Row],[No of lines]])=2,finalScan[[#This Row],[No of lines]]*finalScan[[#This Row],[Duplication %]],"")</f>
        <v/>
      </c>
      <c r="AE30" s="18" t="str">
        <f>IF(COUNT(finalScan[[#This Row],[Comments (%)]],finalScan[[#This Row],[No of lines]])=2,finalScan[[#This Row],[No of lines]]*finalScan[[#This Row],[Comments (%)]],"")</f>
        <v/>
      </c>
      <c r="AF30" s="43"/>
    </row>
    <row r="31" spans="1:32" x14ac:dyDescent="0.35">
      <c r="A31" s="18">
        <v>24</v>
      </c>
      <c r="B31" s="19"/>
      <c r="C31" s="19"/>
      <c r="D31" s="19"/>
      <c r="E31" s="18"/>
      <c r="F31" s="20"/>
      <c r="G31" s="21"/>
      <c r="H31" s="19"/>
      <c r="I31" s="18"/>
      <c r="J31" s="18"/>
      <c r="K31" s="20"/>
      <c r="L31" s="20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9"/>
      <c r="AB31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31" s="18" t="str">
        <f>IF(COUNT(finalScan[[#This Row],[Unit test coverage]:[No of lines]])=2,finalScan[[#This Row],[Unit test coverage]]*finalScan[[#This Row],[No of lines]],"")</f>
        <v/>
      </c>
      <c r="AD31" s="18" t="str">
        <f>IF(COUNT(finalScan[[#This Row],[Duplication %]],finalScan[[#This Row],[No of lines]])=2,finalScan[[#This Row],[No of lines]]*finalScan[[#This Row],[Duplication %]],"")</f>
        <v/>
      </c>
      <c r="AE31" s="18" t="str">
        <f>IF(COUNT(finalScan[[#This Row],[Comments (%)]],finalScan[[#This Row],[No of lines]])=2,finalScan[[#This Row],[No of lines]]*finalScan[[#This Row],[Comments (%)]],"")</f>
        <v/>
      </c>
      <c r="AF31" s="43"/>
    </row>
    <row r="32" spans="1:32" x14ac:dyDescent="0.35">
      <c r="A32" s="18">
        <v>25</v>
      </c>
      <c r="B32" s="19"/>
      <c r="C32" s="19"/>
      <c r="D32" s="19"/>
      <c r="E32" s="18"/>
      <c r="F32" s="20"/>
      <c r="G32" s="21"/>
      <c r="H32" s="19"/>
      <c r="I32" s="18"/>
      <c r="J32" s="18"/>
      <c r="K32" s="20"/>
      <c r="L32" s="20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9"/>
      <c r="AB32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32" s="18" t="str">
        <f>IF(COUNT(finalScan[[#This Row],[Unit test coverage]:[No of lines]])=2,finalScan[[#This Row],[Unit test coverage]]*finalScan[[#This Row],[No of lines]],"")</f>
        <v/>
      </c>
      <c r="AD32" s="18" t="str">
        <f>IF(COUNT(finalScan[[#This Row],[Duplication %]],finalScan[[#This Row],[No of lines]])=2,finalScan[[#This Row],[No of lines]]*finalScan[[#This Row],[Duplication %]],"")</f>
        <v/>
      </c>
      <c r="AE32" s="18" t="str">
        <f>IF(COUNT(finalScan[[#This Row],[Comments (%)]],finalScan[[#This Row],[No of lines]])=2,finalScan[[#This Row],[No of lines]]*finalScan[[#This Row],[Comments (%)]],"")</f>
        <v/>
      </c>
      <c r="AF32" s="43"/>
    </row>
    <row r="33" spans="1:32" x14ac:dyDescent="0.35">
      <c r="A33" s="18">
        <v>26</v>
      </c>
      <c r="B33" s="19"/>
      <c r="C33" s="19"/>
      <c r="D33" s="19"/>
      <c r="E33" s="18"/>
      <c r="F33" s="20"/>
      <c r="G33" s="21"/>
      <c r="H33" s="19"/>
      <c r="I33" s="18"/>
      <c r="J33" s="18"/>
      <c r="K33" s="20"/>
      <c r="L33" s="20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9"/>
      <c r="AB33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33" s="18" t="str">
        <f>IF(COUNT(finalScan[[#This Row],[Unit test coverage]:[No of lines]])=2,finalScan[[#This Row],[Unit test coverage]]*finalScan[[#This Row],[No of lines]],"")</f>
        <v/>
      </c>
      <c r="AD33" s="18" t="str">
        <f>IF(COUNT(finalScan[[#This Row],[Duplication %]],finalScan[[#This Row],[No of lines]])=2,finalScan[[#This Row],[No of lines]]*finalScan[[#This Row],[Duplication %]],"")</f>
        <v/>
      </c>
      <c r="AE33" s="18" t="str">
        <f>IF(COUNT(finalScan[[#This Row],[Comments (%)]],finalScan[[#This Row],[No of lines]])=2,finalScan[[#This Row],[No of lines]]*finalScan[[#This Row],[Comments (%)]],"")</f>
        <v/>
      </c>
      <c r="AF33" s="43"/>
    </row>
    <row r="34" spans="1:32" x14ac:dyDescent="0.35">
      <c r="A34" s="18">
        <v>27</v>
      </c>
      <c r="B34" s="19"/>
      <c r="C34" s="19"/>
      <c r="D34" s="19"/>
      <c r="E34" s="18"/>
      <c r="F34" s="20"/>
      <c r="G34" s="21"/>
      <c r="H34" s="19"/>
      <c r="I34" s="18"/>
      <c r="J34" s="18"/>
      <c r="K34" s="20"/>
      <c r="L34" s="20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9"/>
      <c r="AB34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34" s="18" t="str">
        <f>IF(COUNT(finalScan[[#This Row],[Unit test coverage]:[No of lines]])=2,finalScan[[#This Row],[Unit test coverage]]*finalScan[[#This Row],[No of lines]],"")</f>
        <v/>
      </c>
      <c r="AD34" s="18" t="str">
        <f>IF(COUNT(finalScan[[#This Row],[Duplication %]],finalScan[[#This Row],[No of lines]])=2,finalScan[[#This Row],[No of lines]]*finalScan[[#This Row],[Duplication %]],"")</f>
        <v/>
      </c>
      <c r="AE34" s="18" t="str">
        <f>IF(COUNT(finalScan[[#This Row],[Comments (%)]],finalScan[[#This Row],[No of lines]])=2,finalScan[[#This Row],[No of lines]]*finalScan[[#This Row],[Comments (%)]],"")</f>
        <v/>
      </c>
      <c r="AF34" s="43"/>
    </row>
    <row r="35" spans="1:32" x14ac:dyDescent="0.35">
      <c r="A35" s="18">
        <v>28</v>
      </c>
      <c r="B35" s="19"/>
      <c r="C35" s="19"/>
      <c r="D35" s="19"/>
      <c r="E35" s="18"/>
      <c r="F35" s="20"/>
      <c r="G35" s="21"/>
      <c r="H35" s="19"/>
      <c r="I35" s="18"/>
      <c r="J35" s="18"/>
      <c r="K35" s="20"/>
      <c r="L35" s="20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9"/>
      <c r="AB35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35" s="18" t="str">
        <f>IF(COUNT(finalScan[[#This Row],[Unit test coverage]:[No of lines]])=2,finalScan[[#This Row],[Unit test coverage]]*finalScan[[#This Row],[No of lines]],"")</f>
        <v/>
      </c>
      <c r="AD35" s="18" t="str">
        <f>IF(COUNT(finalScan[[#This Row],[Duplication %]],finalScan[[#This Row],[No of lines]])=2,finalScan[[#This Row],[No of lines]]*finalScan[[#This Row],[Duplication %]],"")</f>
        <v/>
      </c>
      <c r="AE35" s="18" t="str">
        <f>IF(COUNT(finalScan[[#This Row],[Comments (%)]],finalScan[[#This Row],[No of lines]])=2,finalScan[[#This Row],[No of lines]]*finalScan[[#This Row],[Comments (%)]],"")</f>
        <v/>
      </c>
      <c r="AF35" s="43"/>
    </row>
    <row r="36" spans="1:32" x14ac:dyDescent="0.35">
      <c r="A36" s="18">
        <v>29</v>
      </c>
      <c r="B36" s="19"/>
      <c r="C36" s="19"/>
      <c r="D36" s="19"/>
      <c r="E36" s="18"/>
      <c r="F36" s="20"/>
      <c r="G36" s="21"/>
      <c r="H36" s="19"/>
      <c r="I36" s="18"/>
      <c r="J36" s="18"/>
      <c r="K36" s="20"/>
      <c r="L36" s="20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9"/>
      <c r="AB36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36" s="18" t="str">
        <f>IF(COUNT(finalScan[[#This Row],[Unit test coverage]:[No of lines]])=2,finalScan[[#This Row],[Unit test coverage]]*finalScan[[#This Row],[No of lines]],"")</f>
        <v/>
      </c>
      <c r="AD36" s="18" t="str">
        <f>IF(COUNT(finalScan[[#This Row],[Duplication %]],finalScan[[#This Row],[No of lines]])=2,finalScan[[#This Row],[No of lines]]*finalScan[[#This Row],[Duplication %]],"")</f>
        <v/>
      </c>
      <c r="AE36" s="18" t="str">
        <f>IF(COUNT(finalScan[[#This Row],[Comments (%)]],finalScan[[#This Row],[No of lines]])=2,finalScan[[#This Row],[No of lines]]*finalScan[[#This Row],[Comments (%)]],"")</f>
        <v/>
      </c>
      <c r="AF36" s="43"/>
    </row>
    <row r="37" spans="1:32" x14ac:dyDescent="0.35">
      <c r="A37" s="18">
        <v>30</v>
      </c>
      <c r="B37" s="19"/>
      <c r="C37" s="19"/>
      <c r="D37" s="19"/>
      <c r="E37" s="18"/>
      <c r="F37" s="20"/>
      <c r="G37" s="21"/>
      <c r="H37" s="19"/>
      <c r="I37" s="18"/>
      <c r="J37" s="18"/>
      <c r="K37" s="20"/>
      <c r="L37" s="20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9"/>
      <c r="AB37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37" s="18" t="str">
        <f>IF(COUNT(finalScan[[#This Row],[Unit test coverage]:[No of lines]])=2,finalScan[[#This Row],[Unit test coverage]]*finalScan[[#This Row],[No of lines]],"")</f>
        <v/>
      </c>
      <c r="AD37" s="18" t="str">
        <f>IF(COUNT(finalScan[[#This Row],[Duplication %]],finalScan[[#This Row],[No of lines]])=2,finalScan[[#This Row],[No of lines]]*finalScan[[#This Row],[Duplication %]],"")</f>
        <v/>
      </c>
      <c r="AE37" s="18" t="str">
        <f>IF(COUNT(finalScan[[#This Row],[Comments (%)]],finalScan[[#This Row],[No of lines]])=2,finalScan[[#This Row],[No of lines]]*finalScan[[#This Row],[Comments (%)]],"")</f>
        <v/>
      </c>
      <c r="AF37" s="43"/>
    </row>
    <row r="38" spans="1:32" x14ac:dyDescent="0.35">
      <c r="A38" s="18">
        <v>31</v>
      </c>
      <c r="B38" s="19"/>
      <c r="C38" s="19"/>
      <c r="D38" s="19"/>
      <c r="E38" s="18"/>
      <c r="F38" s="20"/>
      <c r="G38" s="21"/>
      <c r="H38" s="19"/>
      <c r="I38" s="18"/>
      <c r="J38" s="18"/>
      <c r="K38" s="20"/>
      <c r="L38" s="20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9"/>
      <c r="AB38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38" s="18" t="str">
        <f>IF(COUNT(finalScan[[#This Row],[Unit test coverage]:[No of lines]])=2,finalScan[[#This Row],[Unit test coverage]]*finalScan[[#This Row],[No of lines]],"")</f>
        <v/>
      </c>
      <c r="AD38" s="18" t="str">
        <f>IF(COUNT(finalScan[[#This Row],[Duplication %]],finalScan[[#This Row],[No of lines]])=2,finalScan[[#This Row],[No of lines]]*finalScan[[#This Row],[Duplication %]],"")</f>
        <v/>
      </c>
      <c r="AE38" s="18" t="str">
        <f>IF(COUNT(finalScan[[#This Row],[Comments (%)]],finalScan[[#This Row],[No of lines]])=2,finalScan[[#This Row],[No of lines]]*finalScan[[#This Row],[Comments (%)]],"")</f>
        <v/>
      </c>
      <c r="AF38" s="43"/>
    </row>
    <row r="39" spans="1:32" x14ac:dyDescent="0.35">
      <c r="A39" s="18">
        <v>32</v>
      </c>
      <c r="B39" s="19"/>
      <c r="C39" s="19"/>
      <c r="D39" s="19"/>
      <c r="E39" s="18"/>
      <c r="F39" s="20"/>
      <c r="G39" s="21"/>
      <c r="H39" s="19"/>
      <c r="I39" s="18"/>
      <c r="J39" s="18"/>
      <c r="K39" s="20"/>
      <c r="L39" s="20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9"/>
      <c r="AB39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39" s="18" t="str">
        <f>IF(COUNT(finalScan[[#This Row],[Unit test coverage]:[No of lines]])=2,finalScan[[#This Row],[Unit test coverage]]*finalScan[[#This Row],[No of lines]],"")</f>
        <v/>
      </c>
      <c r="AD39" s="18" t="str">
        <f>IF(COUNT(finalScan[[#This Row],[Duplication %]],finalScan[[#This Row],[No of lines]])=2,finalScan[[#This Row],[No of lines]]*finalScan[[#This Row],[Duplication %]],"")</f>
        <v/>
      </c>
      <c r="AE39" s="18" t="str">
        <f>IF(COUNT(finalScan[[#This Row],[Comments (%)]],finalScan[[#This Row],[No of lines]])=2,finalScan[[#This Row],[No of lines]]*finalScan[[#This Row],[Comments (%)]],"")</f>
        <v/>
      </c>
      <c r="AF39" s="43"/>
    </row>
    <row r="40" spans="1:32" x14ac:dyDescent="0.35">
      <c r="A40" s="18">
        <v>33</v>
      </c>
      <c r="B40" s="19"/>
      <c r="C40" s="19"/>
      <c r="D40" s="19"/>
      <c r="E40" s="18"/>
      <c r="F40" s="20"/>
      <c r="G40" s="21"/>
      <c r="H40" s="19"/>
      <c r="I40" s="18"/>
      <c r="J40" s="18"/>
      <c r="K40" s="20"/>
      <c r="L40" s="20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9"/>
      <c r="AB40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40" s="18" t="str">
        <f>IF(COUNT(finalScan[[#This Row],[Unit test coverage]:[No of lines]])=2,finalScan[[#This Row],[Unit test coverage]]*finalScan[[#This Row],[No of lines]],"")</f>
        <v/>
      </c>
      <c r="AD40" s="18" t="str">
        <f>IF(COUNT(finalScan[[#This Row],[Duplication %]],finalScan[[#This Row],[No of lines]])=2,finalScan[[#This Row],[No of lines]]*finalScan[[#This Row],[Duplication %]],"")</f>
        <v/>
      </c>
      <c r="AE40" s="18" t="str">
        <f>IF(COUNT(finalScan[[#This Row],[Comments (%)]],finalScan[[#This Row],[No of lines]])=2,finalScan[[#This Row],[No of lines]]*finalScan[[#This Row],[Comments (%)]],"")</f>
        <v/>
      </c>
      <c r="AF40" s="43"/>
    </row>
    <row r="41" spans="1:32" x14ac:dyDescent="0.35">
      <c r="A41" s="18">
        <v>34</v>
      </c>
      <c r="B41" s="19"/>
      <c r="C41" s="19"/>
      <c r="D41" s="19"/>
      <c r="E41" s="18"/>
      <c r="F41" s="20"/>
      <c r="G41" s="21"/>
      <c r="H41" s="19"/>
      <c r="I41" s="18"/>
      <c r="J41" s="18"/>
      <c r="K41" s="20"/>
      <c r="L41" s="20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9"/>
      <c r="AB41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41" s="18" t="str">
        <f>IF(COUNT(finalScan[[#This Row],[Unit test coverage]:[No of lines]])=2,finalScan[[#This Row],[Unit test coverage]]*finalScan[[#This Row],[No of lines]],"")</f>
        <v/>
      </c>
      <c r="AD41" s="18" t="str">
        <f>IF(COUNT(finalScan[[#This Row],[Duplication %]],finalScan[[#This Row],[No of lines]])=2,finalScan[[#This Row],[No of lines]]*finalScan[[#This Row],[Duplication %]],"")</f>
        <v/>
      </c>
      <c r="AE41" s="18" t="str">
        <f>IF(COUNT(finalScan[[#This Row],[Comments (%)]],finalScan[[#This Row],[No of lines]])=2,finalScan[[#This Row],[No of lines]]*finalScan[[#This Row],[Comments (%)]],"")</f>
        <v/>
      </c>
      <c r="AF41" s="43"/>
    </row>
    <row r="42" spans="1:32" x14ac:dyDescent="0.35">
      <c r="A42" s="18">
        <v>35</v>
      </c>
      <c r="B42" s="19"/>
      <c r="C42" s="19"/>
      <c r="D42" s="19"/>
      <c r="E42" s="18"/>
      <c r="F42" s="20"/>
      <c r="G42" s="21"/>
      <c r="H42" s="19"/>
      <c r="I42" s="18"/>
      <c r="J42" s="18"/>
      <c r="K42" s="20"/>
      <c r="L42" s="20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9"/>
      <c r="AB42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42" s="18" t="str">
        <f>IF(COUNT(finalScan[[#This Row],[Unit test coverage]:[No of lines]])=2,finalScan[[#This Row],[Unit test coverage]]*finalScan[[#This Row],[No of lines]],"")</f>
        <v/>
      </c>
      <c r="AD42" s="18" t="str">
        <f>IF(COUNT(finalScan[[#This Row],[Duplication %]],finalScan[[#This Row],[No of lines]])=2,finalScan[[#This Row],[No of lines]]*finalScan[[#This Row],[Duplication %]],"")</f>
        <v/>
      </c>
      <c r="AE42" s="18" t="str">
        <f>IF(COUNT(finalScan[[#This Row],[Comments (%)]],finalScan[[#This Row],[No of lines]])=2,finalScan[[#This Row],[No of lines]]*finalScan[[#This Row],[Comments (%)]],"")</f>
        <v/>
      </c>
      <c r="AF42" s="43"/>
    </row>
    <row r="43" spans="1:32" x14ac:dyDescent="0.35">
      <c r="A43" s="18">
        <v>36</v>
      </c>
      <c r="B43" s="19"/>
      <c r="C43" s="19"/>
      <c r="D43" s="19"/>
      <c r="E43" s="18"/>
      <c r="F43" s="20"/>
      <c r="G43" s="21"/>
      <c r="H43" s="19"/>
      <c r="I43" s="18"/>
      <c r="J43" s="18"/>
      <c r="K43" s="20"/>
      <c r="L43" s="20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9"/>
      <c r="AB43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43" s="18" t="str">
        <f>IF(COUNT(finalScan[[#This Row],[Unit test coverage]:[No of lines]])=2,finalScan[[#This Row],[Unit test coverage]]*finalScan[[#This Row],[No of lines]],"")</f>
        <v/>
      </c>
      <c r="AD43" s="18" t="str">
        <f>IF(COUNT(finalScan[[#This Row],[Duplication %]],finalScan[[#This Row],[No of lines]])=2,finalScan[[#This Row],[No of lines]]*finalScan[[#This Row],[Duplication %]],"")</f>
        <v/>
      </c>
      <c r="AE43" s="18" t="str">
        <f>IF(COUNT(finalScan[[#This Row],[Comments (%)]],finalScan[[#This Row],[No of lines]])=2,finalScan[[#This Row],[No of lines]]*finalScan[[#This Row],[Comments (%)]],"")</f>
        <v/>
      </c>
      <c r="AF43" s="43"/>
    </row>
    <row r="44" spans="1:32" x14ac:dyDescent="0.35">
      <c r="A44" s="18">
        <v>37</v>
      </c>
      <c r="B44" s="19"/>
      <c r="C44" s="19"/>
      <c r="D44" s="19"/>
      <c r="E44" s="18"/>
      <c r="F44" s="20"/>
      <c r="G44" s="21"/>
      <c r="H44" s="19"/>
      <c r="I44" s="18"/>
      <c r="J44" s="18"/>
      <c r="K44" s="20"/>
      <c r="L44" s="20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9"/>
      <c r="AB44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44" s="18" t="str">
        <f>IF(COUNT(finalScan[[#This Row],[Unit test coverage]:[No of lines]])=2,finalScan[[#This Row],[Unit test coverage]]*finalScan[[#This Row],[No of lines]],"")</f>
        <v/>
      </c>
      <c r="AD44" s="18" t="str">
        <f>IF(COUNT(finalScan[[#This Row],[Duplication %]],finalScan[[#This Row],[No of lines]])=2,finalScan[[#This Row],[No of lines]]*finalScan[[#This Row],[Duplication %]],"")</f>
        <v/>
      </c>
      <c r="AE44" s="18" t="str">
        <f>IF(COUNT(finalScan[[#This Row],[Comments (%)]],finalScan[[#This Row],[No of lines]])=2,finalScan[[#This Row],[No of lines]]*finalScan[[#This Row],[Comments (%)]],"")</f>
        <v/>
      </c>
      <c r="AF44" s="43"/>
    </row>
    <row r="45" spans="1:32" x14ac:dyDescent="0.35">
      <c r="A45" s="18">
        <v>38</v>
      </c>
      <c r="B45" s="19"/>
      <c r="C45" s="19"/>
      <c r="D45" s="19"/>
      <c r="E45" s="18"/>
      <c r="F45" s="20"/>
      <c r="G45" s="21"/>
      <c r="H45" s="19"/>
      <c r="I45" s="18"/>
      <c r="J45" s="18"/>
      <c r="K45" s="20"/>
      <c r="L45" s="20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9"/>
      <c r="AB45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45" s="18" t="str">
        <f>IF(COUNT(finalScan[[#This Row],[Unit test coverage]:[No of lines]])=2,finalScan[[#This Row],[Unit test coverage]]*finalScan[[#This Row],[No of lines]],"")</f>
        <v/>
      </c>
      <c r="AD45" s="18" t="str">
        <f>IF(COUNT(finalScan[[#This Row],[Duplication %]],finalScan[[#This Row],[No of lines]])=2,finalScan[[#This Row],[No of lines]]*finalScan[[#This Row],[Duplication %]],"")</f>
        <v/>
      </c>
      <c r="AE45" s="18" t="str">
        <f>IF(COUNT(finalScan[[#This Row],[Comments (%)]],finalScan[[#This Row],[No of lines]])=2,finalScan[[#This Row],[No of lines]]*finalScan[[#This Row],[Comments (%)]],"")</f>
        <v/>
      </c>
      <c r="AF45" s="43"/>
    </row>
    <row r="46" spans="1:32" x14ac:dyDescent="0.35">
      <c r="A46" s="18">
        <v>39</v>
      </c>
      <c r="B46" s="19"/>
      <c r="C46" s="19"/>
      <c r="D46" s="19"/>
      <c r="E46" s="18"/>
      <c r="F46" s="20"/>
      <c r="G46" s="21"/>
      <c r="H46" s="19"/>
      <c r="I46" s="18"/>
      <c r="J46" s="18"/>
      <c r="K46" s="20"/>
      <c r="L46" s="20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9"/>
      <c r="AB46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46" s="18" t="str">
        <f>IF(COUNT(finalScan[[#This Row],[Unit test coverage]:[No of lines]])=2,finalScan[[#This Row],[Unit test coverage]]*finalScan[[#This Row],[No of lines]],"")</f>
        <v/>
      </c>
      <c r="AD46" s="18" t="str">
        <f>IF(COUNT(finalScan[[#This Row],[Duplication %]],finalScan[[#This Row],[No of lines]])=2,finalScan[[#This Row],[No of lines]]*finalScan[[#This Row],[Duplication %]],"")</f>
        <v/>
      </c>
      <c r="AE46" s="18" t="str">
        <f>IF(COUNT(finalScan[[#This Row],[Comments (%)]],finalScan[[#This Row],[No of lines]])=2,finalScan[[#This Row],[No of lines]]*finalScan[[#This Row],[Comments (%)]],"")</f>
        <v/>
      </c>
      <c r="AF46" s="43"/>
    </row>
    <row r="47" spans="1:32" x14ac:dyDescent="0.35">
      <c r="A47" s="18">
        <v>40</v>
      </c>
      <c r="B47" s="19"/>
      <c r="C47" s="19"/>
      <c r="D47" s="19"/>
      <c r="E47" s="18"/>
      <c r="F47" s="20"/>
      <c r="G47" s="21"/>
      <c r="H47" s="19"/>
      <c r="I47" s="18"/>
      <c r="J47" s="18"/>
      <c r="K47" s="20"/>
      <c r="L47" s="20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9"/>
      <c r="AB47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47" s="18" t="str">
        <f>IF(COUNT(finalScan[[#This Row],[Unit test coverage]:[No of lines]])=2,finalScan[[#This Row],[Unit test coverage]]*finalScan[[#This Row],[No of lines]],"")</f>
        <v/>
      </c>
      <c r="AD47" s="18" t="str">
        <f>IF(COUNT(finalScan[[#This Row],[Duplication %]],finalScan[[#This Row],[No of lines]])=2,finalScan[[#This Row],[No of lines]]*finalScan[[#This Row],[Duplication %]],"")</f>
        <v/>
      </c>
      <c r="AE47" s="18" t="str">
        <f>IF(COUNT(finalScan[[#This Row],[Comments (%)]],finalScan[[#This Row],[No of lines]])=2,finalScan[[#This Row],[No of lines]]*finalScan[[#This Row],[Comments (%)]],"")</f>
        <v/>
      </c>
      <c r="AF47" s="43"/>
    </row>
    <row r="48" spans="1:32" x14ac:dyDescent="0.35">
      <c r="A48" s="18">
        <v>41</v>
      </c>
      <c r="B48" s="19"/>
      <c r="C48" s="19"/>
      <c r="D48" s="19"/>
      <c r="E48" s="18"/>
      <c r="F48" s="20"/>
      <c r="G48" s="21"/>
      <c r="H48" s="19"/>
      <c r="I48" s="18"/>
      <c r="J48" s="18"/>
      <c r="K48" s="20"/>
      <c r="L48" s="20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9"/>
      <c r="AB48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48" s="18" t="str">
        <f>IF(COUNT(finalScan[[#This Row],[Unit test coverage]:[No of lines]])=2,finalScan[[#This Row],[Unit test coverage]]*finalScan[[#This Row],[No of lines]],"")</f>
        <v/>
      </c>
      <c r="AD48" s="18" t="str">
        <f>IF(COUNT(finalScan[[#This Row],[Duplication %]],finalScan[[#This Row],[No of lines]])=2,finalScan[[#This Row],[No of lines]]*finalScan[[#This Row],[Duplication %]],"")</f>
        <v/>
      </c>
      <c r="AE48" s="18" t="str">
        <f>IF(COUNT(finalScan[[#This Row],[Comments (%)]],finalScan[[#This Row],[No of lines]])=2,finalScan[[#This Row],[No of lines]]*finalScan[[#This Row],[Comments (%)]],"")</f>
        <v/>
      </c>
      <c r="AF48" s="43"/>
    </row>
    <row r="49" spans="1:32" x14ac:dyDescent="0.35">
      <c r="A49" s="18">
        <v>42</v>
      </c>
      <c r="B49" s="19"/>
      <c r="C49" s="19"/>
      <c r="D49" s="19"/>
      <c r="E49" s="18"/>
      <c r="F49" s="20"/>
      <c r="G49" s="21"/>
      <c r="H49" s="19"/>
      <c r="I49" s="18"/>
      <c r="J49" s="18"/>
      <c r="K49" s="20"/>
      <c r="L49" s="20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9"/>
      <c r="AB49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49" s="18" t="str">
        <f>IF(COUNT(finalScan[[#This Row],[Unit test coverage]:[No of lines]])=2,finalScan[[#This Row],[Unit test coverage]]*finalScan[[#This Row],[No of lines]],"")</f>
        <v/>
      </c>
      <c r="AD49" s="18" t="str">
        <f>IF(COUNT(finalScan[[#This Row],[Duplication %]],finalScan[[#This Row],[No of lines]])=2,finalScan[[#This Row],[No of lines]]*finalScan[[#This Row],[Duplication %]],"")</f>
        <v/>
      </c>
      <c r="AE49" s="18" t="str">
        <f>IF(COUNT(finalScan[[#This Row],[Comments (%)]],finalScan[[#This Row],[No of lines]])=2,finalScan[[#This Row],[No of lines]]*finalScan[[#This Row],[Comments (%)]],"")</f>
        <v/>
      </c>
      <c r="AF49" s="43"/>
    </row>
    <row r="50" spans="1:32" x14ac:dyDescent="0.35">
      <c r="A50" s="18">
        <v>43</v>
      </c>
      <c r="B50" s="19"/>
      <c r="C50" s="19"/>
      <c r="D50" s="19"/>
      <c r="E50" s="18"/>
      <c r="F50" s="20"/>
      <c r="G50" s="21"/>
      <c r="H50" s="19"/>
      <c r="I50" s="18"/>
      <c r="J50" s="18"/>
      <c r="K50" s="20"/>
      <c r="L50" s="20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9"/>
      <c r="AB50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50" s="18" t="str">
        <f>IF(COUNT(finalScan[[#This Row],[Unit test coverage]:[No of lines]])=2,finalScan[[#This Row],[Unit test coverage]]*finalScan[[#This Row],[No of lines]],"")</f>
        <v/>
      </c>
      <c r="AD50" s="18" t="str">
        <f>IF(COUNT(finalScan[[#This Row],[Duplication %]],finalScan[[#This Row],[No of lines]])=2,finalScan[[#This Row],[No of lines]]*finalScan[[#This Row],[Duplication %]],"")</f>
        <v/>
      </c>
      <c r="AE50" s="18" t="str">
        <f>IF(COUNT(finalScan[[#This Row],[Comments (%)]],finalScan[[#This Row],[No of lines]])=2,finalScan[[#This Row],[No of lines]]*finalScan[[#This Row],[Comments (%)]],"")</f>
        <v/>
      </c>
      <c r="AF50" s="43"/>
    </row>
    <row r="51" spans="1:32" x14ac:dyDescent="0.35">
      <c r="A51" s="18">
        <v>44</v>
      </c>
      <c r="B51" s="19"/>
      <c r="C51" s="19"/>
      <c r="D51" s="19"/>
      <c r="E51" s="18"/>
      <c r="F51" s="20"/>
      <c r="G51" s="21"/>
      <c r="H51" s="19"/>
      <c r="I51" s="18"/>
      <c r="J51" s="18"/>
      <c r="K51" s="20"/>
      <c r="L51" s="20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9"/>
      <c r="AB51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51" s="18" t="str">
        <f>IF(COUNT(finalScan[[#This Row],[Unit test coverage]:[No of lines]])=2,finalScan[[#This Row],[Unit test coverage]]*finalScan[[#This Row],[No of lines]],"")</f>
        <v/>
      </c>
      <c r="AD51" s="18" t="str">
        <f>IF(COUNT(finalScan[[#This Row],[Duplication %]],finalScan[[#This Row],[No of lines]])=2,finalScan[[#This Row],[No of lines]]*finalScan[[#This Row],[Duplication %]],"")</f>
        <v/>
      </c>
      <c r="AE51" s="18" t="str">
        <f>IF(COUNT(finalScan[[#This Row],[Comments (%)]],finalScan[[#This Row],[No of lines]])=2,finalScan[[#This Row],[No of lines]]*finalScan[[#This Row],[Comments (%)]],"")</f>
        <v/>
      </c>
      <c r="AF51" s="43"/>
    </row>
    <row r="52" spans="1:32" x14ac:dyDescent="0.35">
      <c r="A52" s="18">
        <v>45</v>
      </c>
      <c r="B52" s="19"/>
      <c r="C52" s="19"/>
      <c r="D52" s="19"/>
      <c r="E52" s="18"/>
      <c r="F52" s="20"/>
      <c r="G52" s="21"/>
      <c r="H52" s="19"/>
      <c r="I52" s="18"/>
      <c r="J52" s="18"/>
      <c r="K52" s="20"/>
      <c r="L52" s="20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9"/>
      <c r="AB52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52" s="18" t="str">
        <f>IF(COUNT(finalScan[[#This Row],[Unit test coverage]:[No of lines]])=2,finalScan[[#This Row],[Unit test coverage]]*finalScan[[#This Row],[No of lines]],"")</f>
        <v/>
      </c>
      <c r="AD52" s="18" t="str">
        <f>IF(COUNT(finalScan[[#This Row],[Duplication %]],finalScan[[#This Row],[No of lines]])=2,finalScan[[#This Row],[No of lines]]*finalScan[[#This Row],[Duplication %]],"")</f>
        <v/>
      </c>
      <c r="AE52" s="18" t="str">
        <f>IF(COUNT(finalScan[[#This Row],[Comments (%)]],finalScan[[#This Row],[No of lines]])=2,finalScan[[#This Row],[No of lines]]*finalScan[[#This Row],[Comments (%)]],"")</f>
        <v/>
      </c>
      <c r="AF52" s="43"/>
    </row>
    <row r="53" spans="1:32" x14ac:dyDescent="0.35">
      <c r="A53" s="18">
        <v>46</v>
      </c>
      <c r="B53" s="19"/>
      <c r="C53" s="19"/>
      <c r="D53" s="19"/>
      <c r="E53" s="18"/>
      <c r="F53" s="20"/>
      <c r="G53" s="21"/>
      <c r="H53" s="19"/>
      <c r="I53" s="18"/>
      <c r="J53" s="18"/>
      <c r="K53" s="20"/>
      <c r="L53" s="20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9"/>
      <c r="AB53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53" s="18" t="str">
        <f>IF(COUNT(finalScan[[#This Row],[Unit test coverage]:[No of lines]])=2,finalScan[[#This Row],[Unit test coverage]]*finalScan[[#This Row],[No of lines]],"")</f>
        <v/>
      </c>
      <c r="AD53" s="18" t="str">
        <f>IF(COUNT(finalScan[[#This Row],[Duplication %]],finalScan[[#This Row],[No of lines]])=2,finalScan[[#This Row],[No of lines]]*finalScan[[#This Row],[Duplication %]],"")</f>
        <v/>
      </c>
      <c r="AE53" s="18" t="str">
        <f>IF(COUNT(finalScan[[#This Row],[Comments (%)]],finalScan[[#This Row],[No of lines]])=2,finalScan[[#This Row],[No of lines]]*finalScan[[#This Row],[Comments (%)]],"")</f>
        <v/>
      </c>
      <c r="AF53" s="43"/>
    </row>
    <row r="54" spans="1:32" x14ac:dyDescent="0.35">
      <c r="A54" s="18">
        <v>47</v>
      </c>
      <c r="B54" s="19"/>
      <c r="C54" s="19"/>
      <c r="D54" s="19"/>
      <c r="E54" s="18"/>
      <c r="F54" s="20"/>
      <c r="G54" s="21"/>
      <c r="H54" s="19"/>
      <c r="I54" s="18"/>
      <c r="J54" s="18"/>
      <c r="K54" s="20"/>
      <c r="L54" s="20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9"/>
      <c r="AB54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54" s="18" t="str">
        <f>IF(COUNT(finalScan[[#This Row],[Unit test coverage]:[No of lines]])=2,finalScan[[#This Row],[Unit test coverage]]*finalScan[[#This Row],[No of lines]],"")</f>
        <v/>
      </c>
      <c r="AD54" s="18" t="str">
        <f>IF(COUNT(finalScan[[#This Row],[Duplication %]],finalScan[[#This Row],[No of lines]])=2,finalScan[[#This Row],[No of lines]]*finalScan[[#This Row],[Duplication %]],"")</f>
        <v/>
      </c>
      <c r="AE54" s="18" t="str">
        <f>IF(COUNT(finalScan[[#This Row],[Comments (%)]],finalScan[[#This Row],[No of lines]])=2,finalScan[[#This Row],[No of lines]]*finalScan[[#This Row],[Comments (%)]],"")</f>
        <v/>
      </c>
      <c r="AF54" s="43"/>
    </row>
    <row r="55" spans="1:32" x14ac:dyDescent="0.35">
      <c r="A55" s="18">
        <v>48</v>
      </c>
      <c r="B55" s="19"/>
      <c r="C55" s="19"/>
      <c r="D55" s="19"/>
      <c r="E55" s="18"/>
      <c r="F55" s="20"/>
      <c r="G55" s="21"/>
      <c r="H55" s="19"/>
      <c r="I55" s="18"/>
      <c r="J55" s="18"/>
      <c r="K55" s="20"/>
      <c r="L55" s="20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9"/>
      <c r="AB55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55" s="18" t="str">
        <f>IF(COUNT(finalScan[[#This Row],[Unit test coverage]:[No of lines]])=2,finalScan[[#This Row],[Unit test coverage]]*finalScan[[#This Row],[No of lines]],"")</f>
        <v/>
      </c>
      <c r="AD55" s="18" t="str">
        <f>IF(COUNT(finalScan[[#This Row],[Duplication %]],finalScan[[#This Row],[No of lines]])=2,finalScan[[#This Row],[No of lines]]*finalScan[[#This Row],[Duplication %]],"")</f>
        <v/>
      </c>
      <c r="AE55" s="18" t="str">
        <f>IF(COUNT(finalScan[[#This Row],[Comments (%)]],finalScan[[#This Row],[No of lines]])=2,finalScan[[#This Row],[No of lines]]*finalScan[[#This Row],[Comments (%)]],"")</f>
        <v/>
      </c>
      <c r="AF55" s="43"/>
    </row>
    <row r="56" spans="1:32" x14ac:dyDescent="0.35">
      <c r="A56" s="18">
        <v>49</v>
      </c>
      <c r="B56" s="19"/>
      <c r="C56" s="19"/>
      <c r="D56" s="19"/>
      <c r="E56" s="18"/>
      <c r="F56" s="20"/>
      <c r="G56" s="21"/>
      <c r="H56" s="19"/>
      <c r="I56" s="18"/>
      <c r="J56" s="18"/>
      <c r="K56" s="20"/>
      <c r="L56" s="20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9"/>
      <c r="AB56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56" s="18" t="str">
        <f>IF(COUNT(finalScan[[#This Row],[Unit test coverage]:[No of lines]])=2,finalScan[[#This Row],[Unit test coverage]]*finalScan[[#This Row],[No of lines]],"")</f>
        <v/>
      </c>
      <c r="AD56" s="18" t="str">
        <f>IF(COUNT(finalScan[[#This Row],[Duplication %]],finalScan[[#This Row],[No of lines]])=2,finalScan[[#This Row],[No of lines]]*finalScan[[#This Row],[Duplication %]],"")</f>
        <v/>
      </c>
      <c r="AE56" s="18" t="str">
        <f>IF(COUNT(finalScan[[#This Row],[Comments (%)]],finalScan[[#This Row],[No of lines]])=2,finalScan[[#This Row],[No of lines]]*finalScan[[#This Row],[Comments (%)]],"")</f>
        <v/>
      </c>
      <c r="AF56" s="43"/>
    </row>
    <row r="57" spans="1:32" x14ac:dyDescent="0.35">
      <c r="A57" s="18">
        <v>50</v>
      </c>
      <c r="B57" s="19"/>
      <c r="C57" s="19"/>
      <c r="D57" s="19"/>
      <c r="E57" s="18"/>
      <c r="F57" s="20"/>
      <c r="G57" s="21"/>
      <c r="H57" s="19"/>
      <c r="I57" s="18"/>
      <c r="J57" s="18"/>
      <c r="K57" s="20"/>
      <c r="L57" s="20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9"/>
      <c r="AB57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57" s="18" t="str">
        <f>IF(COUNT(finalScan[[#This Row],[Unit test coverage]:[No of lines]])=2,finalScan[[#This Row],[Unit test coverage]]*finalScan[[#This Row],[No of lines]],"")</f>
        <v/>
      </c>
      <c r="AD57" s="18" t="str">
        <f>IF(COUNT(finalScan[[#This Row],[Duplication %]],finalScan[[#This Row],[No of lines]])=2,finalScan[[#This Row],[No of lines]]*finalScan[[#This Row],[Duplication %]],"")</f>
        <v/>
      </c>
      <c r="AE57" s="18" t="str">
        <f>IF(COUNT(finalScan[[#This Row],[Comments (%)]],finalScan[[#This Row],[No of lines]])=2,finalScan[[#This Row],[No of lines]]*finalScan[[#This Row],[Comments (%)]],"")</f>
        <v/>
      </c>
      <c r="AF57" s="43"/>
    </row>
    <row r="58" spans="1:32" x14ac:dyDescent="0.35">
      <c r="A58" s="18">
        <v>51</v>
      </c>
      <c r="B58" s="19"/>
      <c r="C58" s="19"/>
      <c r="D58" s="19"/>
      <c r="E58" s="18"/>
      <c r="F58" s="20"/>
      <c r="G58" s="21"/>
      <c r="H58" s="19"/>
      <c r="I58" s="18"/>
      <c r="J58" s="18"/>
      <c r="K58" s="20"/>
      <c r="L58" s="20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9"/>
      <c r="AB58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58" s="18" t="str">
        <f>IF(COUNT(finalScan[[#This Row],[Unit test coverage]:[No of lines]])=2,finalScan[[#This Row],[Unit test coverage]]*finalScan[[#This Row],[No of lines]],"")</f>
        <v/>
      </c>
      <c r="AD58" s="18" t="str">
        <f>IF(COUNT(finalScan[[#This Row],[Duplication %]],finalScan[[#This Row],[No of lines]])=2,finalScan[[#This Row],[No of lines]]*finalScan[[#This Row],[Duplication %]],"")</f>
        <v/>
      </c>
      <c r="AE58" s="18" t="str">
        <f>IF(COUNT(finalScan[[#This Row],[Comments (%)]],finalScan[[#This Row],[No of lines]])=2,finalScan[[#This Row],[No of lines]]*finalScan[[#This Row],[Comments (%)]],"")</f>
        <v/>
      </c>
      <c r="AF58" s="43"/>
    </row>
    <row r="59" spans="1:32" x14ac:dyDescent="0.35">
      <c r="A59" s="18">
        <v>52</v>
      </c>
      <c r="B59" s="19"/>
      <c r="C59" s="19"/>
      <c r="D59" s="19"/>
      <c r="E59" s="18"/>
      <c r="F59" s="20"/>
      <c r="G59" s="21"/>
      <c r="H59" s="19"/>
      <c r="I59" s="18"/>
      <c r="J59" s="18"/>
      <c r="K59" s="20"/>
      <c r="L59" s="20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9"/>
      <c r="AB59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59" s="18" t="str">
        <f>IF(COUNT(finalScan[[#This Row],[Unit test coverage]:[No of lines]])=2,finalScan[[#This Row],[Unit test coverage]]*finalScan[[#This Row],[No of lines]],"")</f>
        <v/>
      </c>
      <c r="AD59" s="18" t="str">
        <f>IF(COUNT(finalScan[[#This Row],[Duplication %]],finalScan[[#This Row],[No of lines]])=2,finalScan[[#This Row],[No of lines]]*finalScan[[#This Row],[Duplication %]],"")</f>
        <v/>
      </c>
      <c r="AE59" s="18" t="str">
        <f>IF(COUNT(finalScan[[#This Row],[Comments (%)]],finalScan[[#This Row],[No of lines]])=2,finalScan[[#This Row],[No of lines]]*finalScan[[#This Row],[Comments (%)]],"")</f>
        <v/>
      </c>
      <c r="AF59" s="43"/>
    </row>
    <row r="60" spans="1:32" x14ac:dyDescent="0.35">
      <c r="A60" s="18">
        <v>53</v>
      </c>
      <c r="B60" s="19"/>
      <c r="C60" s="19"/>
      <c r="D60" s="19"/>
      <c r="E60" s="18"/>
      <c r="F60" s="20"/>
      <c r="G60" s="21"/>
      <c r="H60" s="19"/>
      <c r="I60" s="18"/>
      <c r="J60" s="18"/>
      <c r="K60" s="20"/>
      <c r="L60" s="20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9"/>
      <c r="AB60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60" s="18" t="str">
        <f>IF(COUNT(finalScan[[#This Row],[Unit test coverage]:[No of lines]])=2,finalScan[[#This Row],[Unit test coverage]]*finalScan[[#This Row],[No of lines]],"")</f>
        <v/>
      </c>
      <c r="AD60" s="18" t="str">
        <f>IF(COUNT(finalScan[[#This Row],[Duplication %]],finalScan[[#This Row],[No of lines]])=2,finalScan[[#This Row],[No of lines]]*finalScan[[#This Row],[Duplication %]],"")</f>
        <v/>
      </c>
      <c r="AE60" s="18" t="str">
        <f>IF(COUNT(finalScan[[#This Row],[Comments (%)]],finalScan[[#This Row],[No of lines]])=2,finalScan[[#This Row],[No of lines]]*finalScan[[#This Row],[Comments (%)]],"")</f>
        <v/>
      </c>
      <c r="AF60" s="43"/>
    </row>
    <row r="61" spans="1:32" x14ac:dyDescent="0.35">
      <c r="A61" s="18">
        <v>54</v>
      </c>
      <c r="B61" s="19"/>
      <c r="C61" s="19"/>
      <c r="D61" s="19"/>
      <c r="E61" s="18"/>
      <c r="F61" s="20"/>
      <c r="G61" s="21"/>
      <c r="H61" s="19"/>
      <c r="I61" s="18"/>
      <c r="J61" s="18"/>
      <c r="K61" s="20"/>
      <c r="L61" s="20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9"/>
      <c r="AB61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61" s="18" t="str">
        <f>IF(COUNT(finalScan[[#This Row],[Unit test coverage]:[No of lines]])=2,finalScan[[#This Row],[Unit test coverage]]*finalScan[[#This Row],[No of lines]],"")</f>
        <v/>
      </c>
      <c r="AD61" s="18" t="str">
        <f>IF(COUNT(finalScan[[#This Row],[Duplication %]],finalScan[[#This Row],[No of lines]])=2,finalScan[[#This Row],[No of lines]]*finalScan[[#This Row],[Duplication %]],"")</f>
        <v/>
      </c>
      <c r="AE61" s="18" t="str">
        <f>IF(COUNT(finalScan[[#This Row],[Comments (%)]],finalScan[[#This Row],[No of lines]])=2,finalScan[[#This Row],[No of lines]]*finalScan[[#This Row],[Comments (%)]],"")</f>
        <v/>
      </c>
      <c r="AF61" s="43"/>
    </row>
    <row r="62" spans="1:32" x14ac:dyDescent="0.35">
      <c r="A62" s="18">
        <v>55</v>
      </c>
      <c r="B62" s="19"/>
      <c r="C62" s="19"/>
      <c r="D62" s="19"/>
      <c r="E62" s="18"/>
      <c r="F62" s="20"/>
      <c r="G62" s="21"/>
      <c r="H62" s="19"/>
      <c r="I62" s="18"/>
      <c r="J62" s="18"/>
      <c r="K62" s="20"/>
      <c r="L62" s="20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9"/>
      <c r="AB62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62" s="18" t="str">
        <f>IF(COUNT(finalScan[[#This Row],[Unit test coverage]:[No of lines]])=2,finalScan[[#This Row],[Unit test coverage]]*finalScan[[#This Row],[No of lines]],"")</f>
        <v/>
      </c>
      <c r="AD62" s="18" t="str">
        <f>IF(COUNT(finalScan[[#This Row],[Duplication %]],finalScan[[#This Row],[No of lines]])=2,finalScan[[#This Row],[No of lines]]*finalScan[[#This Row],[Duplication %]],"")</f>
        <v/>
      </c>
      <c r="AE62" s="18" t="str">
        <f>IF(COUNT(finalScan[[#This Row],[Comments (%)]],finalScan[[#This Row],[No of lines]])=2,finalScan[[#This Row],[No of lines]]*finalScan[[#This Row],[Comments (%)]],"")</f>
        <v/>
      </c>
      <c r="AF62" s="43"/>
    </row>
    <row r="63" spans="1:32" x14ac:dyDescent="0.35">
      <c r="A63" s="18">
        <v>56</v>
      </c>
      <c r="B63" s="19"/>
      <c r="C63" s="19"/>
      <c r="D63" s="19"/>
      <c r="E63" s="18"/>
      <c r="F63" s="20"/>
      <c r="G63" s="21"/>
      <c r="H63" s="19"/>
      <c r="I63" s="18"/>
      <c r="J63" s="18"/>
      <c r="K63" s="20"/>
      <c r="L63" s="20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9"/>
      <c r="AB63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63" s="18" t="str">
        <f>IF(COUNT(finalScan[[#This Row],[Unit test coverage]:[No of lines]])=2,finalScan[[#This Row],[Unit test coverage]]*finalScan[[#This Row],[No of lines]],"")</f>
        <v/>
      </c>
      <c r="AD63" s="18" t="str">
        <f>IF(COUNT(finalScan[[#This Row],[Duplication %]],finalScan[[#This Row],[No of lines]])=2,finalScan[[#This Row],[No of lines]]*finalScan[[#This Row],[Duplication %]],"")</f>
        <v/>
      </c>
      <c r="AE63" s="18" t="str">
        <f>IF(COUNT(finalScan[[#This Row],[Comments (%)]],finalScan[[#This Row],[No of lines]])=2,finalScan[[#This Row],[No of lines]]*finalScan[[#This Row],[Comments (%)]],"")</f>
        <v/>
      </c>
      <c r="AF63" s="43"/>
    </row>
    <row r="64" spans="1:32" x14ac:dyDescent="0.35">
      <c r="A64" s="18">
        <v>57</v>
      </c>
      <c r="B64" s="19"/>
      <c r="C64" s="19"/>
      <c r="D64" s="19"/>
      <c r="E64" s="18"/>
      <c r="F64" s="20"/>
      <c r="G64" s="21"/>
      <c r="H64" s="19"/>
      <c r="I64" s="18"/>
      <c r="J64" s="18"/>
      <c r="K64" s="20"/>
      <c r="L64" s="20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9"/>
      <c r="AB64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64" s="18" t="str">
        <f>IF(COUNT(finalScan[[#This Row],[Unit test coverage]:[No of lines]])=2,finalScan[[#This Row],[Unit test coverage]]*finalScan[[#This Row],[No of lines]],"")</f>
        <v/>
      </c>
      <c r="AD64" s="18" t="str">
        <f>IF(COUNT(finalScan[[#This Row],[Duplication %]],finalScan[[#This Row],[No of lines]])=2,finalScan[[#This Row],[No of lines]]*finalScan[[#This Row],[Duplication %]],"")</f>
        <v/>
      </c>
      <c r="AE64" s="18" t="str">
        <f>IF(COUNT(finalScan[[#This Row],[Comments (%)]],finalScan[[#This Row],[No of lines]])=2,finalScan[[#This Row],[No of lines]]*finalScan[[#This Row],[Comments (%)]],"")</f>
        <v/>
      </c>
      <c r="AF64" s="43"/>
    </row>
    <row r="65" spans="1:32" x14ac:dyDescent="0.35">
      <c r="A65" s="18">
        <v>58</v>
      </c>
      <c r="B65" s="19"/>
      <c r="C65" s="19"/>
      <c r="D65" s="19"/>
      <c r="E65" s="18"/>
      <c r="F65" s="20"/>
      <c r="G65" s="21"/>
      <c r="H65" s="19"/>
      <c r="I65" s="18"/>
      <c r="J65" s="18"/>
      <c r="K65" s="20"/>
      <c r="L65" s="20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9"/>
      <c r="AB65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65" s="18" t="str">
        <f>IF(COUNT(finalScan[[#This Row],[Unit test coverage]:[No of lines]])=2,finalScan[[#This Row],[Unit test coverage]]*finalScan[[#This Row],[No of lines]],"")</f>
        <v/>
      </c>
      <c r="AD65" s="18" t="str">
        <f>IF(COUNT(finalScan[[#This Row],[Duplication %]],finalScan[[#This Row],[No of lines]])=2,finalScan[[#This Row],[No of lines]]*finalScan[[#This Row],[Duplication %]],"")</f>
        <v/>
      </c>
      <c r="AE65" s="18" t="str">
        <f>IF(COUNT(finalScan[[#This Row],[Comments (%)]],finalScan[[#This Row],[No of lines]])=2,finalScan[[#This Row],[No of lines]]*finalScan[[#This Row],[Comments (%)]],"")</f>
        <v/>
      </c>
      <c r="AF65" s="43"/>
    </row>
    <row r="66" spans="1:32" x14ac:dyDescent="0.35">
      <c r="A66" s="18">
        <v>59</v>
      </c>
      <c r="B66" s="19"/>
      <c r="C66" s="19"/>
      <c r="D66" s="19"/>
      <c r="E66" s="18"/>
      <c r="F66" s="20"/>
      <c r="G66" s="21"/>
      <c r="H66" s="19"/>
      <c r="I66" s="18"/>
      <c r="J66" s="18"/>
      <c r="K66" s="20"/>
      <c r="L66" s="20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9"/>
      <c r="AB66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66" s="18" t="str">
        <f>IF(COUNT(finalScan[[#This Row],[Unit test coverage]:[No of lines]])=2,finalScan[[#This Row],[Unit test coverage]]*finalScan[[#This Row],[No of lines]],"")</f>
        <v/>
      </c>
      <c r="AD66" s="18" t="str">
        <f>IF(COUNT(finalScan[[#This Row],[Duplication %]],finalScan[[#This Row],[No of lines]])=2,finalScan[[#This Row],[No of lines]]*finalScan[[#This Row],[Duplication %]],"")</f>
        <v/>
      </c>
      <c r="AE66" s="18" t="str">
        <f>IF(COUNT(finalScan[[#This Row],[Comments (%)]],finalScan[[#This Row],[No of lines]])=2,finalScan[[#This Row],[No of lines]]*finalScan[[#This Row],[Comments (%)]],"")</f>
        <v/>
      </c>
      <c r="AF66" s="43"/>
    </row>
    <row r="67" spans="1:32" x14ac:dyDescent="0.35">
      <c r="A67" s="18">
        <v>60</v>
      </c>
      <c r="B67" s="19"/>
      <c r="C67" s="19"/>
      <c r="D67" s="19"/>
      <c r="E67" s="18"/>
      <c r="F67" s="20"/>
      <c r="G67" s="21"/>
      <c r="H67" s="19"/>
      <c r="I67" s="18"/>
      <c r="J67" s="18"/>
      <c r="K67" s="20"/>
      <c r="L67" s="20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9"/>
      <c r="AB67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67" s="18" t="str">
        <f>IF(COUNT(finalScan[[#This Row],[Unit test coverage]:[No of lines]])=2,finalScan[[#This Row],[Unit test coverage]]*finalScan[[#This Row],[No of lines]],"")</f>
        <v/>
      </c>
      <c r="AD67" s="18" t="str">
        <f>IF(COUNT(finalScan[[#This Row],[Duplication %]],finalScan[[#This Row],[No of lines]])=2,finalScan[[#This Row],[No of lines]]*finalScan[[#This Row],[Duplication %]],"")</f>
        <v/>
      </c>
      <c r="AE67" s="18" t="str">
        <f>IF(COUNT(finalScan[[#This Row],[Comments (%)]],finalScan[[#This Row],[No of lines]])=2,finalScan[[#This Row],[No of lines]]*finalScan[[#This Row],[Comments (%)]],"")</f>
        <v/>
      </c>
      <c r="AF67" s="43"/>
    </row>
    <row r="68" spans="1:32" x14ac:dyDescent="0.35">
      <c r="A68" s="18">
        <v>61</v>
      </c>
      <c r="B68" s="19"/>
      <c r="C68" s="19"/>
      <c r="D68" s="19"/>
      <c r="E68" s="18"/>
      <c r="F68" s="20"/>
      <c r="G68" s="21"/>
      <c r="H68" s="19"/>
      <c r="I68" s="18"/>
      <c r="J68" s="18"/>
      <c r="K68" s="20"/>
      <c r="L68" s="20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9"/>
      <c r="AB68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68" s="18" t="str">
        <f>IF(COUNT(finalScan[[#This Row],[Unit test coverage]:[No of lines]])=2,finalScan[[#This Row],[Unit test coverage]]*finalScan[[#This Row],[No of lines]],"")</f>
        <v/>
      </c>
      <c r="AD68" s="18" t="str">
        <f>IF(COUNT(finalScan[[#This Row],[Duplication %]],finalScan[[#This Row],[No of lines]])=2,finalScan[[#This Row],[No of lines]]*finalScan[[#This Row],[Duplication %]],"")</f>
        <v/>
      </c>
      <c r="AE68" s="18" t="str">
        <f>IF(COUNT(finalScan[[#This Row],[Comments (%)]],finalScan[[#This Row],[No of lines]])=2,finalScan[[#This Row],[No of lines]]*finalScan[[#This Row],[Comments (%)]],"")</f>
        <v/>
      </c>
      <c r="AF68" s="43"/>
    </row>
    <row r="69" spans="1:32" x14ac:dyDescent="0.35">
      <c r="A69" s="18">
        <v>62</v>
      </c>
      <c r="B69" s="19"/>
      <c r="C69" s="19"/>
      <c r="D69" s="19"/>
      <c r="E69" s="18"/>
      <c r="F69" s="20"/>
      <c r="G69" s="21"/>
      <c r="H69" s="19"/>
      <c r="I69" s="18"/>
      <c r="J69" s="18"/>
      <c r="K69" s="20"/>
      <c r="L69" s="20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9"/>
      <c r="AB69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69" s="18" t="str">
        <f>IF(COUNT(finalScan[[#This Row],[Unit test coverage]:[No of lines]])=2,finalScan[[#This Row],[Unit test coverage]]*finalScan[[#This Row],[No of lines]],"")</f>
        <v/>
      </c>
      <c r="AD69" s="18" t="str">
        <f>IF(COUNT(finalScan[[#This Row],[Duplication %]],finalScan[[#This Row],[No of lines]])=2,finalScan[[#This Row],[No of lines]]*finalScan[[#This Row],[Duplication %]],"")</f>
        <v/>
      </c>
      <c r="AE69" s="18" t="str">
        <f>IF(COUNT(finalScan[[#This Row],[Comments (%)]],finalScan[[#This Row],[No of lines]])=2,finalScan[[#This Row],[No of lines]]*finalScan[[#This Row],[Comments (%)]],"")</f>
        <v/>
      </c>
      <c r="AF69" s="43"/>
    </row>
    <row r="70" spans="1:32" x14ac:dyDescent="0.35">
      <c r="A70" s="18">
        <v>63</v>
      </c>
      <c r="B70" s="19"/>
      <c r="C70" s="19"/>
      <c r="D70" s="19"/>
      <c r="E70" s="18"/>
      <c r="F70" s="20"/>
      <c r="G70" s="21"/>
      <c r="H70" s="19"/>
      <c r="I70" s="18"/>
      <c r="J70" s="18"/>
      <c r="K70" s="20"/>
      <c r="L70" s="20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9"/>
      <c r="AB70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70" s="18" t="str">
        <f>IF(COUNT(finalScan[[#This Row],[Unit test coverage]:[No of lines]])=2,finalScan[[#This Row],[Unit test coverage]]*finalScan[[#This Row],[No of lines]],"")</f>
        <v/>
      </c>
      <c r="AD70" s="18" t="str">
        <f>IF(COUNT(finalScan[[#This Row],[Duplication %]],finalScan[[#This Row],[No of lines]])=2,finalScan[[#This Row],[No of lines]]*finalScan[[#This Row],[Duplication %]],"")</f>
        <v/>
      </c>
      <c r="AE70" s="18" t="str">
        <f>IF(COUNT(finalScan[[#This Row],[Comments (%)]],finalScan[[#This Row],[No of lines]])=2,finalScan[[#This Row],[No of lines]]*finalScan[[#This Row],[Comments (%)]],"")</f>
        <v/>
      </c>
      <c r="AF70" s="43"/>
    </row>
    <row r="71" spans="1:32" x14ac:dyDescent="0.35">
      <c r="A71" s="18">
        <v>64</v>
      </c>
      <c r="B71" s="19"/>
      <c r="C71" s="19"/>
      <c r="D71" s="19"/>
      <c r="E71" s="18"/>
      <c r="F71" s="20"/>
      <c r="G71" s="21"/>
      <c r="H71" s="19"/>
      <c r="I71" s="18"/>
      <c r="J71" s="18"/>
      <c r="K71" s="20"/>
      <c r="L71" s="20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9"/>
      <c r="AB71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71" s="18" t="str">
        <f>IF(COUNT(finalScan[[#This Row],[Unit test coverage]:[No of lines]])=2,finalScan[[#This Row],[Unit test coverage]]*finalScan[[#This Row],[No of lines]],"")</f>
        <v/>
      </c>
      <c r="AD71" s="18" t="str">
        <f>IF(COUNT(finalScan[[#This Row],[Duplication %]],finalScan[[#This Row],[No of lines]])=2,finalScan[[#This Row],[No of lines]]*finalScan[[#This Row],[Duplication %]],"")</f>
        <v/>
      </c>
      <c r="AE71" s="18" t="str">
        <f>IF(COUNT(finalScan[[#This Row],[Comments (%)]],finalScan[[#This Row],[No of lines]])=2,finalScan[[#This Row],[No of lines]]*finalScan[[#This Row],[Comments (%)]],"")</f>
        <v/>
      </c>
      <c r="AF71" s="43"/>
    </row>
    <row r="72" spans="1:32" x14ac:dyDescent="0.35">
      <c r="A72" s="18">
        <v>65</v>
      </c>
      <c r="B72" s="19"/>
      <c r="C72" s="19"/>
      <c r="D72" s="19"/>
      <c r="E72" s="18"/>
      <c r="F72" s="20"/>
      <c r="G72" s="21"/>
      <c r="H72" s="19"/>
      <c r="I72" s="18"/>
      <c r="J72" s="18"/>
      <c r="K72" s="20"/>
      <c r="L72" s="20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9"/>
      <c r="AB72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72" s="18" t="str">
        <f>IF(COUNT(finalScan[[#This Row],[Unit test coverage]:[No of lines]])=2,finalScan[[#This Row],[Unit test coverage]]*finalScan[[#This Row],[No of lines]],"")</f>
        <v/>
      </c>
      <c r="AD72" s="18" t="str">
        <f>IF(COUNT(finalScan[[#This Row],[Duplication %]],finalScan[[#This Row],[No of lines]])=2,finalScan[[#This Row],[No of lines]]*finalScan[[#This Row],[Duplication %]],"")</f>
        <v/>
      </c>
      <c r="AE72" s="18" t="str">
        <f>IF(COUNT(finalScan[[#This Row],[Comments (%)]],finalScan[[#This Row],[No of lines]])=2,finalScan[[#This Row],[No of lines]]*finalScan[[#This Row],[Comments (%)]],"")</f>
        <v/>
      </c>
      <c r="AF72" s="43"/>
    </row>
    <row r="73" spans="1:32" x14ac:dyDescent="0.35">
      <c r="A73" s="18">
        <v>66</v>
      </c>
      <c r="B73" s="19"/>
      <c r="C73" s="19"/>
      <c r="D73" s="19"/>
      <c r="E73" s="18"/>
      <c r="F73" s="20"/>
      <c r="G73" s="21"/>
      <c r="H73" s="19"/>
      <c r="I73" s="18"/>
      <c r="J73" s="18"/>
      <c r="K73" s="20"/>
      <c r="L73" s="20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9"/>
      <c r="AB73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73" s="18" t="str">
        <f>IF(COUNT(finalScan[[#This Row],[Unit test coverage]:[No of lines]])=2,finalScan[[#This Row],[Unit test coverage]]*finalScan[[#This Row],[No of lines]],"")</f>
        <v/>
      </c>
      <c r="AD73" s="18" t="str">
        <f>IF(COUNT(finalScan[[#This Row],[Duplication %]],finalScan[[#This Row],[No of lines]])=2,finalScan[[#This Row],[No of lines]]*finalScan[[#This Row],[Duplication %]],"")</f>
        <v/>
      </c>
      <c r="AE73" s="18" t="str">
        <f>IF(COUNT(finalScan[[#This Row],[Comments (%)]],finalScan[[#This Row],[No of lines]])=2,finalScan[[#This Row],[No of lines]]*finalScan[[#This Row],[Comments (%)]],"")</f>
        <v/>
      </c>
      <c r="AF73" s="43"/>
    </row>
    <row r="74" spans="1:32" x14ac:dyDescent="0.35">
      <c r="A74" s="18">
        <v>67</v>
      </c>
      <c r="B74" s="19"/>
      <c r="C74" s="19"/>
      <c r="D74" s="19"/>
      <c r="E74" s="18"/>
      <c r="F74" s="20"/>
      <c r="G74" s="21"/>
      <c r="H74" s="19"/>
      <c r="I74" s="18"/>
      <c r="J74" s="18"/>
      <c r="K74" s="20"/>
      <c r="L74" s="20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9"/>
      <c r="AB74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74" s="18" t="str">
        <f>IF(COUNT(finalScan[[#This Row],[Unit test coverage]:[No of lines]])=2,finalScan[[#This Row],[Unit test coverage]]*finalScan[[#This Row],[No of lines]],"")</f>
        <v/>
      </c>
      <c r="AD74" s="18" t="str">
        <f>IF(COUNT(finalScan[[#This Row],[Duplication %]],finalScan[[#This Row],[No of lines]])=2,finalScan[[#This Row],[No of lines]]*finalScan[[#This Row],[Duplication %]],"")</f>
        <v/>
      </c>
      <c r="AE74" s="18" t="str">
        <f>IF(COUNT(finalScan[[#This Row],[Comments (%)]],finalScan[[#This Row],[No of lines]])=2,finalScan[[#This Row],[No of lines]]*finalScan[[#This Row],[Comments (%)]],"")</f>
        <v/>
      </c>
      <c r="AF74" s="43"/>
    </row>
    <row r="75" spans="1:32" x14ac:dyDescent="0.35">
      <c r="A75" s="18">
        <v>68</v>
      </c>
      <c r="B75" s="19"/>
      <c r="C75" s="19"/>
      <c r="D75" s="19"/>
      <c r="E75" s="18"/>
      <c r="F75" s="20"/>
      <c r="G75" s="21"/>
      <c r="H75" s="19"/>
      <c r="I75" s="18"/>
      <c r="J75" s="18"/>
      <c r="K75" s="20"/>
      <c r="L75" s="20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9"/>
      <c r="AB75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75" s="18" t="str">
        <f>IF(COUNT(finalScan[[#This Row],[Unit test coverage]:[No of lines]])=2,finalScan[[#This Row],[Unit test coverage]]*finalScan[[#This Row],[No of lines]],"")</f>
        <v/>
      </c>
      <c r="AD75" s="18" t="str">
        <f>IF(COUNT(finalScan[[#This Row],[Duplication %]],finalScan[[#This Row],[No of lines]])=2,finalScan[[#This Row],[No of lines]]*finalScan[[#This Row],[Duplication %]],"")</f>
        <v/>
      </c>
      <c r="AE75" s="18" t="str">
        <f>IF(COUNT(finalScan[[#This Row],[Comments (%)]],finalScan[[#This Row],[No of lines]])=2,finalScan[[#This Row],[No of lines]]*finalScan[[#This Row],[Comments (%)]],"")</f>
        <v/>
      </c>
      <c r="AF75" s="43"/>
    </row>
    <row r="76" spans="1:32" x14ac:dyDescent="0.35">
      <c r="A76" s="18">
        <v>69</v>
      </c>
      <c r="B76" s="19"/>
      <c r="C76" s="19"/>
      <c r="D76" s="19"/>
      <c r="E76" s="18"/>
      <c r="F76" s="20"/>
      <c r="G76" s="21"/>
      <c r="H76" s="19"/>
      <c r="I76" s="18"/>
      <c r="J76" s="18"/>
      <c r="K76" s="20"/>
      <c r="L76" s="20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9"/>
      <c r="AB76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76" s="18" t="str">
        <f>IF(COUNT(finalScan[[#This Row],[Unit test coverage]:[No of lines]])=2,finalScan[[#This Row],[Unit test coverage]]*finalScan[[#This Row],[No of lines]],"")</f>
        <v/>
      </c>
      <c r="AD76" s="18" t="str">
        <f>IF(COUNT(finalScan[[#This Row],[Duplication %]],finalScan[[#This Row],[No of lines]])=2,finalScan[[#This Row],[No of lines]]*finalScan[[#This Row],[Duplication %]],"")</f>
        <v/>
      </c>
      <c r="AE76" s="18" t="str">
        <f>IF(COUNT(finalScan[[#This Row],[Comments (%)]],finalScan[[#This Row],[No of lines]])=2,finalScan[[#This Row],[No of lines]]*finalScan[[#This Row],[Comments (%)]],"")</f>
        <v/>
      </c>
      <c r="AF76" s="43"/>
    </row>
    <row r="77" spans="1:32" x14ac:dyDescent="0.35">
      <c r="A77" s="18">
        <v>70</v>
      </c>
      <c r="B77" s="19"/>
      <c r="C77" s="19"/>
      <c r="D77" s="19"/>
      <c r="E77" s="18"/>
      <c r="F77" s="20"/>
      <c r="G77" s="21"/>
      <c r="H77" s="19"/>
      <c r="I77" s="18"/>
      <c r="J77" s="18"/>
      <c r="K77" s="20"/>
      <c r="L77" s="20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9"/>
      <c r="AB77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77" s="18" t="str">
        <f>IF(COUNT(finalScan[[#This Row],[Unit test coverage]:[No of lines]])=2,finalScan[[#This Row],[Unit test coverage]]*finalScan[[#This Row],[No of lines]],"")</f>
        <v/>
      </c>
      <c r="AD77" s="18" t="str">
        <f>IF(COUNT(finalScan[[#This Row],[Duplication %]],finalScan[[#This Row],[No of lines]])=2,finalScan[[#This Row],[No of lines]]*finalScan[[#This Row],[Duplication %]],"")</f>
        <v/>
      </c>
      <c r="AE77" s="18" t="str">
        <f>IF(COUNT(finalScan[[#This Row],[Comments (%)]],finalScan[[#This Row],[No of lines]])=2,finalScan[[#This Row],[No of lines]]*finalScan[[#This Row],[Comments (%)]],"")</f>
        <v/>
      </c>
      <c r="AF77" s="43"/>
    </row>
    <row r="78" spans="1:32" x14ac:dyDescent="0.35">
      <c r="A78" s="18">
        <v>71</v>
      </c>
      <c r="B78" s="19"/>
      <c r="C78" s="19"/>
      <c r="D78" s="19"/>
      <c r="E78" s="18"/>
      <c r="F78" s="20"/>
      <c r="G78" s="21"/>
      <c r="H78" s="19"/>
      <c r="I78" s="18"/>
      <c r="J78" s="18"/>
      <c r="K78" s="20"/>
      <c r="L78" s="20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9"/>
      <c r="AB78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78" s="18" t="str">
        <f>IF(COUNT(finalScan[[#This Row],[Unit test coverage]:[No of lines]])=2,finalScan[[#This Row],[Unit test coverage]]*finalScan[[#This Row],[No of lines]],"")</f>
        <v/>
      </c>
      <c r="AD78" s="18" t="str">
        <f>IF(COUNT(finalScan[[#This Row],[Duplication %]],finalScan[[#This Row],[No of lines]])=2,finalScan[[#This Row],[No of lines]]*finalScan[[#This Row],[Duplication %]],"")</f>
        <v/>
      </c>
      <c r="AE78" s="18" t="str">
        <f>IF(COUNT(finalScan[[#This Row],[Comments (%)]],finalScan[[#This Row],[No of lines]])=2,finalScan[[#This Row],[No of lines]]*finalScan[[#This Row],[Comments (%)]],"")</f>
        <v/>
      </c>
      <c r="AF78" s="43"/>
    </row>
    <row r="79" spans="1:32" x14ac:dyDescent="0.35">
      <c r="A79" s="18">
        <v>72</v>
      </c>
      <c r="B79" s="19"/>
      <c r="C79" s="19"/>
      <c r="D79" s="19"/>
      <c r="E79" s="18"/>
      <c r="F79" s="20"/>
      <c r="G79" s="21"/>
      <c r="H79" s="19"/>
      <c r="I79" s="18"/>
      <c r="J79" s="18"/>
      <c r="K79" s="20"/>
      <c r="L79" s="20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9"/>
      <c r="AB79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79" s="18" t="str">
        <f>IF(COUNT(finalScan[[#This Row],[Unit test coverage]:[No of lines]])=2,finalScan[[#This Row],[Unit test coverage]]*finalScan[[#This Row],[No of lines]],"")</f>
        <v/>
      </c>
      <c r="AD79" s="18" t="str">
        <f>IF(COUNT(finalScan[[#This Row],[Duplication %]],finalScan[[#This Row],[No of lines]])=2,finalScan[[#This Row],[No of lines]]*finalScan[[#This Row],[Duplication %]],"")</f>
        <v/>
      </c>
      <c r="AE79" s="18" t="str">
        <f>IF(COUNT(finalScan[[#This Row],[Comments (%)]],finalScan[[#This Row],[No of lines]])=2,finalScan[[#This Row],[No of lines]]*finalScan[[#This Row],[Comments (%)]],"")</f>
        <v/>
      </c>
      <c r="AF79" s="43"/>
    </row>
    <row r="80" spans="1:32" x14ac:dyDescent="0.35">
      <c r="A80" s="18">
        <v>73</v>
      </c>
      <c r="B80" s="19"/>
      <c r="C80" s="19"/>
      <c r="D80" s="19"/>
      <c r="E80" s="18"/>
      <c r="F80" s="20"/>
      <c r="G80" s="21"/>
      <c r="H80" s="19"/>
      <c r="I80" s="18"/>
      <c r="J80" s="18"/>
      <c r="K80" s="20"/>
      <c r="L80" s="20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9"/>
      <c r="AB80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80" s="18" t="str">
        <f>IF(COUNT(finalScan[[#This Row],[Unit test coverage]:[No of lines]])=2,finalScan[[#This Row],[Unit test coverage]]*finalScan[[#This Row],[No of lines]],"")</f>
        <v/>
      </c>
      <c r="AD80" s="18" t="str">
        <f>IF(COUNT(finalScan[[#This Row],[Duplication %]],finalScan[[#This Row],[No of lines]])=2,finalScan[[#This Row],[No of lines]]*finalScan[[#This Row],[Duplication %]],"")</f>
        <v/>
      </c>
      <c r="AE80" s="18" t="str">
        <f>IF(COUNT(finalScan[[#This Row],[Comments (%)]],finalScan[[#This Row],[No of lines]])=2,finalScan[[#This Row],[No of lines]]*finalScan[[#This Row],[Comments (%)]],"")</f>
        <v/>
      </c>
      <c r="AF80" s="43"/>
    </row>
    <row r="81" spans="1:32" x14ac:dyDescent="0.35">
      <c r="A81" s="18">
        <v>74</v>
      </c>
      <c r="B81" s="19"/>
      <c r="C81" s="19"/>
      <c r="D81" s="19"/>
      <c r="E81" s="18"/>
      <c r="F81" s="20"/>
      <c r="G81" s="21"/>
      <c r="H81" s="19"/>
      <c r="I81" s="18"/>
      <c r="J81" s="18"/>
      <c r="K81" s="20"/>
      <c r="L81" s="20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9"/>
      <c r="AB81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81" s="18" t="str">
        <f>IF(COUNT(finalScan[[#This Row],[Unit test coverage]:[No of lines]])=2,finalScan[[#This Row],[Unit test coverage]]*finalScan[[#This Row],[No of lines]],"")</f>
        <v/>
      </c>
      <c r="AD81" s="18" t="str">
        <f>IF(COUNT(finalScan[[#This Row],[Duplication %]],finalScan[[#This Row],[No of lines]])=2,finalScan[[#This Row],[No of lines]]*finalScan[[#This Row],[Duplication %]],"")</f>
        <v/>
      </c>
      <c r="AE81" s="18" t="str">
        <f>IF(COUNT(finalScan[[#This Row],[Comments (%)]],finalScan[[#This Row],[No of lines]])=2,finalScan[[#This Row],[No of lines]]*finalScan[[#This Row],[Comments (%)]],"")</f>
        <v/>
      </c>
      <c r="AF81" s="43"/>
    </row>
    <row r="82" spans="1:32" x14ac:dyDescent="0.35">
      <c r="A82" s="18">
        <v>75</v>
      </c>
      <c r="B82" s="19"/>
      <c r="C82" s="19"/>
      <c r="D82" s="19"/>
      <c r="E82" s="18"/>
      <c r="F82" s="20"/>
      <c r="G82" s="21"/>
      <c r="H82" s="19"/>
      <c r="I82" s="18"/>
      <c r="J82" s="18"/>
      <c r="K82" s="20"/>
      <c r="L82" s="20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9"/>
      <c r="AB82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82" s="18" t="str">
        <f>IF(COUNT(finalScan[[#This Row],[Unit test coverage]:[No of lines]])=2,finalScan[[#This Row],[Unit test coverage]]*finalScan[[#This Row],[No of lines]],"")</f>
        <v/>
      </c>
      <c r="AD82" s="18" t="str">
        <f>IF(COUNT(finalScan[[#This Row],[Duplication %]],finalScan[[#This Row],[No of lines]])=2,finalScan[[#This Row],[No of lines]]*finalScan[[#This Row],[Duplication %]],"")</f>
        <v/>
      </c>
      <c r="AE82" s="18" t="str">
        <f>IF(COUNT(finalScan[[#This Row],[Comments (%)]],finalScan[[#This Row],[No of lines]])=2,finalScan[[#This Row],[No of lines]]*finalScan[[#This Row],[Comments (%)]],"")</f>
        <v/>
      </c>
      <c r="AF82" s="43"/>
    </row>
    <row r="83" spans="1:32" x14ac:dyDescent="0.35">
      <c r="A83" s="18">
        <v>76</v>
      </c>
      <c r="B83" s="19"/>
      <c r="C83" s="19"/>
      <c r="D83" s="19"/>
      <c r="E83" s="18"/>
      <c r="F83" s="20"/>
      <c r="G83" s="21"/>
      <c r="H83" s="19"/>
      <c r="I83" s="18"/>
      <c r="J83" s="18"/>
      <c r="K83" s="20"/>
      <c r="L83" s="20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9"/>
      <c r="AB83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83" s="18" t="str">
        <f>IF(COUNT(finalScan[[#This Row],[Unit test coverage]:[No of lines]])=2,finalScan[[#This Row],[Unit test coverage]]*finalScan[[#This Row],[No of lines]],"")</f>
        <v/>
      </c>
      <c r="AD83" s="18" t="str">
        <f>IF(COUNT(finalScan[[#This Row],[Duplication %]],finalScan[[#This Row],[No of lines]])=2,finalScan[[#This Row],[No of lines]]*finalScan[[#This Row],[Duplication %]],"")</f>
        <v/>
      </c>
      <c r="AE83" s="18" t="str">
        <f>IF(COUNT(finalScan[[#This Row],[Comments (%)]],finalScan[[#This Row],[No of lines]])=2,finalScan[[#This Row],[No of lines]]*finalScan[[#This Row],[Comments (%)]],"")</f>
        <v/>
      </c>
      <c r="AF83" s="43"/>
    </row>
    <row r="84" spans="1:32" x14ac:dyDescent="0.35">
      <c r="A84" s="18">
        <v>77</v>
      </c>
      <c r="B84" s="19"/>
      <c r="C84" s="19"/>
      <c r="D84" s="19"/>
      <c r="E84" s="18"/>
      <c r="F84" s="20"/>
      <c r="G84" s="21"/>
      <c r="H84" s="19"/>
      <c r="I84" s="18"/>
      <c r="J84" s="18"/>
      <c r="K84" s="20"/>
      <c r="L84" s="20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9"/>
      <c r="AB84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84" s="18" t="str">
        <f>IF(COUNT(finalScan[[#This Row],[Unit test coverage]:[No of lines]])=2,finalScan[[#This Row],[Unit test coverage]]*finalScan[[#This Row],[No of lines]],"")</f>
        <v/>
      </c>
      <c r="AD84" s="18" t="str">
        <f>IF(COUNT(finalScan[[#This Row],[Duplication %]],finalScan[[#This Row],[No of lines]])=2,finalScan[[#This Row],[No of lines]]*finalScan[[#This Row],[Duplication %]],"")</f>
        <v/>
      </c>
      <c r="AE84" s="18" t="str">
        <f>IF(COUNT(finalScan[[#This Row],[Comments (%)]],finalScan[[#This Row],[No of lines]])=2,finalScan[[#This Row],[No of lines]]*finalScan[[#This Row],[Comments (%)]],"")</f>
        <v/>
      </c>
      <c r="AF84" s="43"/>
    </row>
    <row r="85" spans="1:32" x14ac:dyDescent="0.35">
      <c r="A85" s="18">
        <v>78</v>
      </c>
      <c r="B85" s="19"/>
      <c r="C85" s="19"/>
      <c r="D85" s="19"/>
      <c r="E85" s="18"/>
      <c r="F85" s="20"/>
      <c r="G85" s="21"/>
      <c r="H85" s="19"/>
      <c r="I85" s="18"/>
      <c r="J85" s="18"/>
      <c r="K85" s="20"/>
      <c r="L85" s="20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9"/>
      <c r="AB85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85" s="18" t="str">
        <f>IF(COUNT(finalScan[[#This Row],[Unit test coverage]:[No of lines]])=2,finalScan[[#This Row],[Unit test coverage]]*finalScan[[#This Row],[No of lines]],"")</f>
        <v/>
      </c>
      <c r="AD85" s="18" t="str">
        <f>IF(COUNT(finalScan[[#This Row],[Duplication %]],finalScan[[#This Row],[No of lines]])=2,finalScan[[#This Row],[No of lines]]*finalScan[[#This Row],[Duplication %]],"")</f>
        <v/>
      </c>
      <c r="AE85" s="18" t="str">
        <f>IF(COUNT(finalScan[[#This Row],[Comments (%)]],finalScan[[#This Row],[No of lines]])=2,finalScan[[#This Row],[No of lines]]*finalScan[[#This Row],[Comments (%)]],"")</f>
        <v/>
      </c>
      <c r="AF85" s="43"/>
    </row>
    <row r="86" spans="1:32" x14ac:dyDescent="0.35">
      <c r="A86" s="18">
        <v>79</v>
      </c>
      <c r="B86" s="19"/>
      <c r="C86" s="19"/>
      <c r="D86" s="19"/>
      <c r="E86" s="18"/>
      <c r="F86" s="20"/>
      <c r="G86" s="21"/>
      <c r="H86" s="19"/>
      <c r="I86" s="18"/>
      <c r="J86" s="18"/>
      <c r="K86" s="20"/>
      <c r="L86" s="20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9"/>
      <c r="AB86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86" s="18" t="str">
        <f>IF(COUNT(finalScan[[#This Row],[Unit test coverage]:[No of lines]])=2,finalScan[[#This Row],[Unit test coverage]]*finalScan[[#This Row],[No of lines]],"")</f>
        <v/>
      </c>
      <c r="AD86" s="18" t="str">
        <f>IF(COUNT(finalScan[[#This Row],[Duplication %]],finalScan[[#This Row],[No of lines]])=2,finalScan[[#This Row],[No of lines]]*finalScan[[#This Row],[Duplication %]],"")</f>
        <v/>
      </c>
      <c r="AE86" s="18" t="str">
        <f>IF(COUNT(finalScan[[#This Row],[Comments (%)]],finalScan[[#This Row],[No of lines]])=2,finalScan[[#This Row],[No of lines]]*finalScan[[#This Row],[Comments (%)]],"")</f>
        <v/>
      </c>
      <c r="AF86" s="43"/>
    </row>
    <row r="87" spans="1:32" x14ac:dyDescent="0.35">
      <c r="A87" s="18">
        <v>80</v>
      </c>
      <c r="B87" s="19"/>
      <c r="C87" s="19"/>
      <c r="D87" s="19"/>
      <c r="E87" s="18"/>
      <c r="F87" s="20"/>
      <c r="G87" s="21"/>
      <c r="H87" s="19"/>
      <c r="I87" s="18"/>
      <c r="J87" s="18"/>
      <c r="K87" s="20"/>
      <c r="L87" s="20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9"/>
      <c r="AB87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87" s="18" t="str">
        <f>IF(COUNT(finalScan[[#This Row],[Unit test coverage]:[No of lines]])=2,finalScan[[#This Row],[Unit test coverage]]*finalScan[[#This Row],[No of lines]],"")</f>
        <v/>
      </c>
      <c r="AD87" s="18" t="str">
        <f>IF(COUNT(finalScan[[#This Row],[Duplication %]],finalScan[[#This Row],[No of lines]])=2,finalScan[[#This Row],[No of lines]]*finalScan[[#This Row],[Duplication %]],"")</f>
        <v/>
      </c>
      <c r="AE87" s="18" t="str">
        <f>IF(COUNT(finalScan[[#This Row],[Comments (%)]],finalScan[[#This Row],[No of lines]])=2,finalScan[[#This Row],[No of lines]]*finalScan[[#This Row],[Comments (%)]],"")</f>
        <v/>
      </c>
      <c r="AF87" s="43"/>
    </row>
    <row r="88" spans="1:32" x14ac:dyDescent="0.35">
      <c r="A88" s="18">
        <v>81</v>
      </c>
      <c r="B88" s="19"/>
      <c r="C88" s="19"/>
      <c r="D88" s="19"/>
      <c r="E88" s="18"/>
      <c r="F88" s="20"/>
      <c r="G88" s="21"/>
      <c r="H88" s="19"/>
      <c r="I88" s="18"/>
      <c r="J88" s="18"/>
      <c r="K88" s="20"/>
      <c r="L88" s="20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9"/>
      <c r="AB88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88" s="18" t="str">
        <f>IF(COUNT(finalScan[[#This Row],[Unit test coverage]:[No of lines]])=2,finalScan[[#This Row],[Unit test coverage]]*finalScan[[#This Row],[No of lines]],"")</f>
        <v/>
      </c>
      <c r="AD88" s="18" t="str">
        <f>IF(COUNT(finalScan[[#This Row],[Duplication %]],finalScan[[#This Row],[No of lines]])=2,finalScan[[#This Row],[No of lines]]*finalScan[[#This Row],[Duplication %]],"")</f>
        <v/>
      </c>
      <c r="AE88" s="18" t="str">
        <f>IF(COUNT(finalScan[[#This Row],[Comments (%)]],finalScan[[#This Row],[No of lines]])=2,finalScan[[#This Row],[No of lines]]*finalScan[[#This Row],[Comments (%)]],"")</f>
        <v/>
      </c>
      <c r="AF88" s="43"/>
    </row>
    <row r="89" spans="1:32" x14ac:dyDescent="0.35">
      <c r="A89" s="18">
        <v>82</v>
      </c>
      <c r="B89" s="19"/>
      <c r="C89" s="19"/>
      <c r="D89" s="19"/>
      <c r="E89" s="18"/>
      <c r="F89" s="20"/>
      <c r="G89" s="21"/>
      <c r="H89" s="19"/>
      <c r="I89" s="18"/>
      <c r="J89" s="18"/>
      <c r="K89" s="20"/>
      <c r="L89" s="20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9"/>
      <c r="AB89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89" s="18" t="str">
        <f>IF(COUNT(finalScan[[#This Row],[Unit test coverage]:[No of lines]])=2,finalScan[[#This Row],[Unit test coverage]]*finalScan[[#This Row],[No of lines]],"")</f>
        <v/>
      </c>
      <c r="AD89" s="18" t="str">
        <f>IF(COUNT(finalScan[[#This Row],[Duplication %]],finalScan[[#This Row],[No of lines]])=2,finalScan[[#This Row],[No of lines]]*finalScan[[#This Row],[Duplication %]],"")</f>
        <v/>
      </c>
      <c r="AE89" s="18" t="str">
        <f>IF(COUNT(finalScan[[#This Row],[Comments (%)]],finalScan[[#This Row],[No of lines]])=2,finalScan[[#This Row],[No of lines]]*finalScan[[#This Row],[Comments (%)]],"")</f>
        <v/>
      </c>
      <c r="AF89" s="43"/>
    </row>
    <row r="90" spans="1:32" x14ac:dyDescent="0.35">
      <c r="A90" s="18">
        <v>83</v>
      </c>
      <c r="B90" s="19"/>
      <c r="C90" s="19"/>
      <c r="D90" s="19"/>
      <c r="E90" s="18"/>
      <c r="F90" s="20"/>
      <c r="G90" s="21"/>
      <c r="H90" s="19"/>
      <c r="I90" s="18"/>
      <c r="J90" s="18"/>
      <c r="K90" s="20"/>
      <c r="L90" s="20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9"/>
      <c r="AB90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90" s="18" t="str">
        <f>IF(COUNT(finalScan[[#This Row],[Unit test coverage]:[No of lines]])=2,finalScan[[#This Row],[Unit test coverage]]*finalScan[[#This Row],[No of lines]],"")</f>
        <v/>
      </c>
      <c r="AD90" s="18" t="str">
        <f>IF(COUNT(finalScan[[#This Row],[Duplication %]],finalScan[[#This Row],[No of lines]])=2,finalScan[[#This Row],[No of lines]]*finalScan[[#This Row],[Duplication %]],"")</f>
        <v/>
      </c>
      <c r="AE90" s="18" t="str">
        <f>IF(COUNT(finalScan[[#This Row],[Comments (%)]],finalScan[[#This Row],[No of lines]])=2,finalScan[[#This Row],[No of lines]]*finalScan[[#This Row],[Comments (%)]],"")</f>
        <v/>
      </c>
      <c r="AF90" s="43"/>
    </row>
    <row r="91" spans="1:32" x14ac:dyDescent="0.35">
      <c r="A91" s="18">
        <v>84</v>
      </c>
      <c r="B91" s="19"/>
      <c r="C91" s="19"/>
      <c r="D91" s="19"/>
      <c r="E91" s="18"/>
      <c r="F91" s="20"/>
      <c r="G91" s="21"/>
      <c r="H91" s="19"/>
      <c r="I91" s="18"/>
      <c r="J91" s="18"/>
      <c r="K91" s="20"/>
      <c r="L91" s="20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9"/>
      <c r="AB91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91" s="18" t="str">
        <f>IF(COUNT(finalScan[[#This Row],[Unit test coverage]:[No of lines]])=2,finalScan[[#This Row],[Unit test coverage]]*finalScan[[#This Row],[No of lines]],"")</f>
        <v/>
      </c>
      <c r="AD91" s="18" t="str">
        <f>IF(COUNT(finalScan[[#This Row],[Duplication %]],finalScan[[#This Row],[No of lines]])=2,finalScan[[#This Row],[No of lines]]*finalScan[[#This Row],[Duplication %]],"")</f>
        <v/>
      </c>
      <c r="AE91" s="18" t="str">
        <f>IF(COUNT(finalScan[[#This Row],[Comments (%)]],finalScan[[#This Row],[No of lines]])=2,finalScan[[#This Row],[No of lines]]*finalScan[[#This Row],[Comments (%)]],"")</f>
        <v/>
      </c>
      <c r="AF91" s="43"/>
    </row>
    <row r="92" spans="1:32" x14ac:dyDescent="0.35">
      <c r="A92" s="18">
        <v>85</v>
      </c>
      <c r="B92" s="19"/>
      <c r="C92" s="19"/>
      <c r="D92" s="19"/>
      <c r="E92" s="18"/>
      <c r="F92" s="20"/>
      <c r="G92" s="21"/>
      <c r="H92" s="19"/>
      <c r="I92" s="18"/>
      <c r="J92" s="18"/>
      <c r="K92" s="20"/>
      <c r="L92" s="20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9"/>
      <c r="AB92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92" s="18" t="str">
        <f>IF(COUNT(finalScan[[#This Row],[Unit test coverage]:[No of lines]])=2,finalScan[[#This Row],[Unit test coverage]]*finalScan[[#This Row],[No of lines]],"")</f>
        <v/>
      </c>
      <c r="AD92" s="18" t="str">
        <f>IF(COUNT(finalScan[[#This Row],[Duplication %]],finalScan[[#This Row],[No of lines]])=2,finalScan[[#This Row],[No of lines]]*finalScan[[#This Row],[Duplication %]],"")</f>
        <v/>
      </c>
      <c r="AE92" s="18" t="str">
        <f>IF(COUNT(finalScan[[#This Row],[Comments (%)]],finalScan[[#This Row],[No of lines]])=2,finalScan[[#This Row],[No of lines]]*finalScan[[#This Row],[Comments (%)]],"")</f>
        <v/>
      </c>
      <c r="AF92" s="43"/>
    </row>
    <row r="93" spans="1:32" x14ac:dyDescent="0.35">
      <c r="A93" s="18">
        <v>86</v>
      </c>
      <c r="B93" s="19"/>
      <c r="C93" s="19"/>
      <c r="D93" s="19"/>
      <c r="E93" s="18"/>
      <c r="F93" s="20"/>
      <c r="G93" s="21"/>
      <c r="H93" s="19"/>
      <c r="I93" s="18"/>
      <c r="J93" s="18"/>
      <c r="K93" s="20"/>
      <c r="L93" s="20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9"/>
      <c r="AB93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93" s="18" t="str">
        <f>IF(COUNT(finalScan[[#This Row],[Unit test coverage]:[No of lines]])=2,finalScan[[#This Row],[Unit test coverage]]*finalScan[[#This Row],[No of lines]],"")</f>
        <v/>
      </c>
      <c r="AD93" s="18" t="str">
        <f>IF(COUNT(finalScan[[#This Row],[Duplication %]],finalScan[[#This Row],[No of lines]])=2,finalScan[[#This Row],[No of lines]]*finalScan[[#This Row],[Duplication %]],"")</f>
        <v/>
      </c>
      <c r="AE93" s="18" t="str">
        <f>IF(COUNT(finalScan[[#This Row],[Comments (%)]],finalScan[[#This Row],[No of lines]])=2,finalScan[[#This Row],[No of lines]]*finalScan[[#This Row],[Comments (%)]],"")</f>
        <v/>
      </c>
      <c r="AF93" s="43"/>
    </row>
    <row r="94" spans="1:32" x14ac:dyDescent="0.35">
      <c r="A94" s="18">
        <v>87</v>
      </c>
      <c r="B94" s="19"/>
      <c r="C94" s="19"/>
      <c r="D94" s="19"/>
      <c r="E94" s="18"/>
      <c r="F94" s="20"/>
      <c r="G94" s="21"/>
      <c r="H94" s="19"/>
      <c r="I94" s="18"/>
      <c r="J94" s="18"/>
      <c r="K94" s="20"/>
      <c r="L94" s="20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9"/>
      <c r="AB94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94" s="18" t="str">
        <f>IF(COUNT(finalScan[[#This Row],[Unit test coverage]:[No of lines]])=2,finalScan[[#This Row],[Unit test coverage]]*finalScan[[#This Row],[No of lines]],"")</f>
        <v/>
      </c>
      <c r="AD94" s="18" t="str">
        <f>IF(COUNT(finalScan[[#This Row],[Duplication %]],finalScan[[#This Row],[No of lines]])=2,finalScan[[#This Row],[No of lines]]*finalScan[[#This Row],[Duplication %]],"")</f>
        <v/>
      </c>
      <c r="AE94" s="18" t="str">
        <f>IF(COUNT(finalScan[[#This Row],[Comments (%)]],finalScan[[#This Row],[No of lines]])=2,finalScan[[#This Row],[No of lines]]*finalScan[[#This Row],[Comments (%)]],"")</f>
        <v/>
      </c>
      <c r="AF94" s="43"/>
    </row>
    <row r="95" spans="1:32" x14ac:dyDescent="0.35">
      <c r="A95" s="18">
        <v>88</v>
      </c>
      <c r="B95" s="19"/>
      <c r="C95" s="19"/>
      <c r="D95" s="19"/>
      <c r="E95" s="18"/>
      <c r="F95" s="20"/>
      <c r="G95" s="21"/>
      <c r="H95" s="19"/>
      <c r="I95" s="18"/>
      <c r="J95" s="18"/>
      <c r="K95" s="20"/>
      <c r="L95" s="20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9"/>
      <c r="AB95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95" s="18" t="str">
        <f>IF(COUNT(finalScan[[#This Row],[Unit test coverage]:[No of lines]])=2,finalScan[[#This Row],[Unit test coverage]]*finalScan[[#This Row],[No of lines]],"")</f>
        <v/>
      </c>
      <c r="AD95" s="18" t="str">
        <f>IF(COUNT(finalScan[[#This Row],[Duplication %]],finalScan[[#This Row],[No of lines]])=2,finalScan[[#This Row],[No of lines]]*finalScan[[#This Row],[Duplication %]],"")</f>
        <v/>
      </c>
      <c r="AE95" s="18" t="str">
        <f>IF(COUNT(finalScan[[#This Row],[Comments (%)]],finalScan[[#This Row],[No of lines]])=2,finalScan[[#This Row],[No of lines]]*finalScan[[#This Row],[Comments (%)]],"")</f>
        <v/>
      </c>
      <c r="AF95" s="43"/>
    </row>
    <row r="96" spans="1:32" x14ac:dyDescent="0.35">
      <c r="A96" s="18">
        <v>89</v>
      </c>
      <c r="B96" s="19"/>
      <c r="C96" s="19"/>
      <c r="D96" s="19"/>
      <c r="E96" s="18"/>
      <c r="F96" s="20"/>
      <c r="G96" s="21"/>
      <c r="H96" s="19"/>
      <c r="I96" s="18"/>
      <c r="J96" s="18"/>
      <c r="K96" s="20"/>
      <c r="L96" s="20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9"/>
      <c r="AB96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96" s="18" t="str">
        <f>IF(COUNT(finalScan[[#This Row],[Unit test coverage]:[No of lines]])=2,finalScan[[#This Row],[Unit test coverage]]*finalScan[[#This Row],[No of lines]],"")</f>
        <v/>
      </c>
      <c r="AD96" s="18" t="str">
        <f>IF(COUNT(finalScan[[#This Row],[Duplication %]],finalScan[[#This Row],[No of lines]])=2,finalScan[[#This Row],[No of lines]]*finalScan[[#This Row],[Duplication %]],"")</f>
        <v/>
      </c>
      <c r="AE96" s="18" t="str">
        <f>IF(COUNT(finalScan[[#This Row],[Comments (%)]],finalScan[[#This Row],[No of lines]])=2,finalScan[[#This Row],[No of lines]]*finalScan[[#This Row],[Comments (%)]],"")</f>
        <v/>
      </c>
      <c r="AF96" s="43"/>
    </row>
    <row r="97" spans="1:32" x14ac:dyDescent="0.35">
      <c r="A97" s="18">
        <v>90</v>
      </c>
      <c r="B97" s="19"/>
      <c r="C97" s="19"/>
      <c r="D97" s="19"/>
      <c r="E97" s="18"/>
      <c r="F97" s="20"/>
      <c r="G97" s="21"/>
      <c r="H97" s="19"/>
      <c r="I97" s="18"/>
      <c r="J97" s="18"/>
      <c r="K97" s="20"/>
      <c r="L97" s="20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9"/>
      <c r="AB97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97" s="18" t="str">
        <f>IF(COUNT(finalScan[[#This Row],[Unit test coverage]:[No of lines]])=2,finalScan[[#This Row],[Unit test coverage]]*finalScan[[#This Row],[No of lines]],"")</f>
        <v/>
      </c>
      <c r="AD97" s="18" t="str">
        <f>IF(COUNT(finalScan[[#This Row],[Duplication %]],finalScan[[#This Row],[No of lines]])=2,finalScan[[#This Row],[No of lines]]*finalScan[[#This Row],[Duplication %]],"")</f>
        <v/>
      </c>
      <c r="AE97" s="18" t="str">
        <f>IF(COUNT(finalScan[[#This Row],[Comments (%)]],finalScan[[#This Row],[No of lines]])=2,finalScan[[#This Row],[No of lines]]*finalScan[[#This Row],[Comments (%)]],"")</f>
        <v/>
      </c>
      <c r="AF97" s="43"/>
    </row>
    <row r="98" spans="1:32" x14ac:dyDescent="0.35">
      <c r="A98" s="18">
        <v>91</v>
      </c>
      <c r="B98" s="19"/>
      <c r="C98" s="19"/>
      <c r="D98" s="19"/>
      <c r="E98" s="18"/>
      <c r="F98" s="20"/>
      <c r="G98" s="21"/>
      <c r="H98" s="19"/>
      <c r="I98" s="18"/>
      <c r="J98" s="18"/>
      <c r="K98" s="20"/>
      <c r="L98" s="20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9"/>
      <c r="AB98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98" s="18" t="str">
        <f>IF(COUNT(finalScan[[#This Row],[Unit test coverage]:[No of lines]])=2,finalScan[[#This Row],[Unit test coverage]]*finalScan[[#This Row],[No of lines]],"")</f>
        <v/>
      </c>
      <c r="AD98" s="18" t="str">
        <f>IF(COUNT(finalScan[[#This Row],[Duplication %]],finalScan[[#This Row],[No of lines]])=2,finalScan[[#This Row],[No of lines]]*finalScan[[#This Row],[Duplication %]],"")</f>
        <v/>
      </c>
      <c r="AE98" s="18" t="str">
        <f>IF(COUNT(finalScan[[#This Row],[Comments (%)]],finalScan[[#This Row],[No of lines]])=2,finalScan[[#This Row],[No of lines]]*finalScan[[#This Row],[Comments (%)]],"")</f>
        <v/>
      </c>
      <c r="AF98" s="43"/>
    </row>
    <row r="99" spans="1:32" x14ac:dyDescent="0.35">
      <c r="A99" s="18">
        <v>92</v>
      </c>
      <c r="B99" s="19"/>
      <c r="C99" s="19"/>
      <c r="D99" s="19"/>
      <c r="E99" s="18"/>
      <c r="F99" s="20"/>
      <c r="G99" s="21"/>
      <c r="H99" s="19"/>
      <c r="I99" s="18"/>
      <c r="J99" s="18"/>
      <c r="K99" s="20"/>
      <c r="L99" s="20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9"/>
      <c r="AB99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99" s="18" t="str">
        <f>IF(COUNT(finalScan[[#This Row],[Unit test coverage]:[No of lines]])=2,finalScan[[#This Row],[Unit test coverage]]*finalScan[[#This Row],[No of lines]],"")</f>
        <v/>
      </c>
      <c r="AD99" s="18" t="str">
        <f>IF(COUNT(finalScan[[#This Row],[Duplication %]],finalScan[[#This Row],[No of lines]])=2,finalScan[[#This Row],[No of lines]]*finalScan[[#This Row],[Duplication %]],"")</f>
        <v/>
      </c>
      <c r="AE99" s="18" t="str">
        <f>IF(COUNT(finalScan[[#This Row],[Comments (%)]],finalScan[[#This Row],[No of lines]])=2,finalScan[[#This Row],[No of lines]]*finalScan[[#This Row],[Comments (%)]],"")</f>
        <v/>
      </c>
      <c r="AF99" s="43"/>
    </row>
    <row r="100" spans="1:32" x14ac:dyDescent="0.35">
      <c r="A100" s="18">
        <v>93</v>
      </c>
      <c r="B100" s="19"/>
      <c r="C100" s="19"/>
      <c r="D100" s="19"/>
      <c r="E100" s="18"/>
      <c r="F100" s="20"/>
      <c r="G100" s="21"/>
      <c r="H100" s="19"/>
      <c r="I100" s="18"/>
      <c r="J100" s="18"/>
      <c r="K100" s="20"/>
      <c r="L100" s="20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9"/>
      <c r="AB100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100" s="18" t="str">
        <f>IF(COUNT(finalScan[[#This Row],[Unit test coverage]:[No of lines]])=2,finalScan[[#This Row],[Unit test coverage]]*finalScan[[#This Row],[No of lines]],"")</f>
        <v/>
      </c>
      <c r="AD100" s="18" t="str">
        <f>IF(COUNT(finalScan[[#This Row],[Duplication %]],finalScan[[#This Row],[No of lines]])=2,finalScan[[#This Row],[No of lines]]*finalScan[[#This Row],[Duplication %]],"")</f>
        <v/>
      </c>
      <c r="AE100" s="18" t="str">
        <f>IF(COUNT(finalScan[[#This Row],[Comments (%)]],finalScan[[#This Row],[No of lines]])=2,finalScan[[#This Row],[No of lines]]*finalScan[[#This Row],[Comments (%)]],"")</f>
        <v/>
      </c>
      <c r="AF100" s="43"/>
    </row>
    <row r="101" spans="1:32" x14ac:dyDescent="0.35">
      <c r="A101" s="18">
        <v>94</v>
      </c>
      <c r="B101" s="19"/>
      <c r="C101" s="19"/>
      <c r="D101" s="19"/>
      <c r="E101" s="18"/>
      <c r="F101" s="20"/>
      <c r="G101" s="21"/>
      <c r="H101" s="19"/>
      <c r="I101" s="18"/>
      <c r="J101" s="18"/>
      <c r="K101" s="20"/>
      <c r="L101" s="20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9"/>
      <c r="AB101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101" s="18" t="str">
        <f>IF(COUNT(finalScan[[#This Row],[Unit test coverage]:[No of lines]])=2,finalScan[[#This Row],[Unit test coverage]]*finalScan[[#This Row],[No of lines]],"")</f>
        <v/>
      </c>
      <c r="AD101" s="18" t="str">
        <f>IF(COUNT(finalScan[[#This Row],[Duplication %]],finalScan[[#This Row],[No of lines]])=2,finalScan[[#This Row],[No of lines]]*finalScan[[#This Row],[Duplication %]],"")</f>
        <v/>
      </c>
      <c r="AE101" s="18" t="str">
        <f>IF(COUNT(finalScan[[#This Row],[Comments (%)]],finalScan[[#This Row],[No of lines]])=2,finalScan[[#This Row],[No of lines]]*finalScan[[#This Row],[Comments (%)]],"")</f>
        <v/>
      </c>
      <c r="AF101" s="43"/>
    </row>
    <row r="102" spans="1:32" x14ac:dyDescent="0.35">
      <c r="A102" s="18">
        <v>95</v>
      </c>
      <c r="B102" s="19"/>
      <c r="C102" s="19"/>
      <c r="D102" s="19"/>
      <c r="E102" s="18"/>
      <c r="F102" s="20"/>
      <c r="G102" s="21"/>
      <c r="H102" s="19"/>
      <c r="I102" s="18"/>
      <c r="J102" s="18"/>
      <c r="K102" s="20"/>
      <c r="L102" s="20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9"/>
      <c r="AB102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102" s="18" t="str">
        <f>IF(COUNT(finalScan[[#This Row],[Unit test coverage]:[No of lines]])=2,finalScan[[#This Row],[Unit test coverage]]*finalScan[[#This Row],[No of lines]],"")</f>
        <v/>
      </c>
      <c r="AD102" s="18" t="str">
        <f>IF(COUNT(finalScan[[#This Row],[Duplication %]],finalScan[[#This Row],[No of lines]])=2,finalScan[[#This Row],[No of lines]]*finalScan[[#This Row],[Duplication %]],"")</f>
        <v/>
      </c>
      <c r="AE102" s="18" t="str">
        <f>IF(COUNT(finalScan[[#This Row],[Comments (%)]],finalScan[[#This Row],[No of lines]])=2,finalScan[[#This Row],[No of lines]]*finalScan[[#This Row],[Comments (%)]],"")</f>
        <v/>
      </c>
      <c r="AF102" s="43"/>
    </row>
    <row r="103" spans="1:32" x14ac:dyDescent="0.35">
      <c r="A103" s="18">
        <v>96</v>
      </c>
      <c r="B103" s="19"/>
      <c r="C103" s="19"/>
      <c r="D103" s="19"/>
      <c r="E103" s="18"/>
      <c r="F103" s="20"/>
      <c r="G103" s="21"/>
      <c r="H103" s="19"/>
      <c r="I103" s="18"/>
      <c r="J103" s="18"/>
      <c r="K103" s="20"/>
      <c r="L103" s="20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9"/>
      <c r="AB103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103" s="18" t="str">
        <f>IF(COUNT(finalScan[[#This Row],[Unit test coverage]:[No of lines]])=2,finalScan[[#This Row],[Unit test coverage]]*finalScan[[#This Row],[No of lines]],"")</f>
        <v/>
      </c>
      <c r="AD103" s="18" t="str">
        <f>IF(COUNT(finalScan[[#This Row],[Duplication %]],finalScan[[#This Row],[No of lines]])=2,finalScan[[#This Row],[No of lines]]*finalScan[[#This Row],[Duplication %]],"")</f>
        <v/>
      </c>
      <c r="AE103" s="18" t="str">
        <f>IF(COUNT(finalScan[[#This Row],[Comments (%)]],finalScan[[#This Row],[No of lines]])=2,finalScan[[#This Row],[No of lines]]*finalScan[[#This Row],[Comments (%)]],"")</f>
        <v/>
      </c>
      <c r="AF103" s="43"/>
    </row>
    <row r="104" spans="1:32" x14ac:dyDescent="0.35">
      <c r="A104" s="18">
        <v>97</v>
      </c>
      <c r="B104" s="19"/>
      <c r="C104" s="19"/>
      <c r="D104" s="19"/>
      <c r="E104" s="18"/>
      <c r="F104" s="20"/>
      <c r="G104" s="21"/>
      <c r="H104" s="19"/>
      <c r="I104" s="18"/>
      <c r="J104" s="18"/>
      <c r="K104" s="20"/>
      <c r="L104" s="20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9"/>
      <c r="AB104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104" s="18" t="str">
        <f>IF(COUNT(finalScan[[#This Row],[Unit test coverage]:[No of lines]])=2,finalScan[[#This Row],[Unit test coverage]]*finalScan[[#This Row],[No of lines]],"")</f>
        <v/>
      </c>
      <c r="AD104" s="18" t="str">
        <f>IF(COUNT(finalScan[[#This Row],[Duplication %]],finalScan[[#This Row],[No of lines]])=2,finalScan[[#This Row],[No of lines]]*finalScan[[#This Row],[Duplication %]],"")</f>
        <v/>
      </c>
      <c r="AE104" s="18" t="str">
        <f>IF(COUNT(finalScan[[#This Row],[Comments (%)]],finalScan[[#This Row],[No of lines]])=2,finalScan[[#This Row],[No of lines]]*finalScan[[#This Row],[Comments (%)]],"")</f>
        <v/>
      </c>
      <c r="AF104" s="43"/>
    </row>
    <row r="105" spans="1:32" x14ac:dyDescent="0.35">
      <c r="A105" s="18">
        <v>98</v>
      </c>
      <c r="B105" s="19"/>
      <c r="C105" s="19"/>
      <c r="D105" s="19"/>
      <c r="E105" s="18"/>
      <c r="F105" s="20"/>
      <c r="G105" s="21"/>
      <c r="H105" s="19"/>
      <c r="I105" s="18"/>
      <c r="J105" s="18"/>
      <c r="K105" s="20"/>
      <c r="L105" s="20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9"/>
      <c r="AB105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105" s="18" t="str">
        <f>IF(COUNT(finalScan[[#This Row],[Unit test coverage]:[No of lines]])=2,finalScan[[#This Row],[Unit test coverage]]*finalScan[[#This Row],[No of lines]],"")</f>
        <v/>
      </c>
      <c r="AD105" s="18" t="str">
        <f>IF(COUNT(finalScan[[#This Row],[Duplication %]],finalScan[[#This Row],[No of lines]])=2,finalScan[[#This Row],[No of lines]]*finalScan[[#This Row],[Duplication %]],"")</f>
        <v/>
      </c>
      <c r="AE105" s="18" t="str">
        <f>IF(COUNT(finalScan[[#This Row],[Comments (%)]],finalScan[[#This Row],[No of lines]])=2,finalScan[[#This Row],[No of lines]]*finalScan[[#This Row],[Comments (%)]],"")</f>
        <v/>
      </c>
      <c r="AF105" s="43"/>
    </row>
    <row r="106" spans="1:32" x14ac:dyDescent="0.35">
      <c r="A106" s="18">
        <v>99</v>
      </c>
      <c r="B106" s="19"/>
      <c r="C106" s="19"/>
      <c r="D106" s="19"/>
      <c r="E106" s="18"/>
      <c r="F106" s="20"/>
      <c r="G106" s="21"/>
      <c r="H106" s="19"/>
      <c r="I106" s="18"/>
      <c r="J106" s="18"/>
      <c r="K106" s="20"/>
      <c r="L106" s="20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9"/>
      <c r="AB106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106" s="18" t="str">
        <f>IF(COUNT(finalScan[[#This Row],[Unit test coverage]:[No of lines]])=2,finalScan[[#This Row],[Unit test coverage]]*finalScan[[#This Row],[No of lines]],"")</f>
        <v/>
      </c>
      <c r="AD106" s="18" t="str">
        <f>IF(COUNT(finalScan[[#This Row],[Duplication %]],finalScan[[#This Row],[No of lines]])=2,finalScan[[#This Row],[No of lines]]*finalScan[[#This Row],[Duplication %]],"")</f>
        <v/>
      </c>
      <c r="AE106" s="18" t="str">
        <f>IF(COUNT(finalScan[[#This Row],[Comments (%)]],finalScan[[#This Row],[No of lines]])=2,finalScan[[#This Row],[No of lines]]*finalScan[[#This Row],[Comments (%)]],"")</f>
        <v/>
      </c>
      <c r="AF106" s="43"/>
    </row>
    <row r="107" spans="1:32" x14ac:dyDescent="0.35">
      <c r="A107" s="18">
        <v>100</v>
      </c>
      <c r="B107" s="19"/>
      <c r="C107" s="19"/>
      <c r="D107" s="19"/>
      <c r="E107" s="18"/>
      <c r="F107" s="20"/>
      <c r="G107" s="21"/>
      <c r="H107" s="19"/>
      <c r="I107" s="18"/>
      <c r="J107" s="18"/>
      <c r="K107" s="20"/>
      <c r="L107" s="20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9"/>
      <c r="AB107" s="19" t="str">
        <f>IF(COUNTA(finalScan[[#This Row],[Repository Name]]),IF(OR(finalScan[[#This Row],[Unit tests present?]]="No",finalScan[[#This Row],[Unit tests present?]]="NA"),(COUNTBLANK(finalScan[[#This Row],[Repository Name]:[Unit tests present?]])+COUNTBLANK(finalScan[[#This Row],[No of lines]:[Reliability Bug (Minor)]]))=0,COUNTBLANK(finalScan[[#This Row],[Repository Name]:[Reliability Bug (Minor)]])=0),"")</f>
        <v/>
      </c>
      <c r="AC107" s="18" t="str">
        <f>IF(COUNT(finalScan[[#This Row],[Unit test coverage]:[No of lines]])=2,finalScan[[#This Row],[Unit test coverage]]*finalScan[[#This Row],[No of lines]],"")</f>
        <v/>
      </c>
      <c r="AD107" s="18" t="str">
        <f>IF(COUNT(finalScan[[#This Row],[Duplication %]],finalScan[[#This Row],[No of lines]])=2,finalScan[[#This Row],[No of lines]]*finalScan[[#This Row],[Duplication %]],"")</f>
        <v/>
      </c>
      <c r="AE107" s="18" t="str">
        <f>IF(COUNT(finalScan[[#This Row],[Comments (%)]],finalScan[[#This Row],[No of lines]])=2,finalScan[[#This Row],[No of lines]]*finalScan[[#This Row],[Comments (%)]],"")</f>
        <v/>
      </c>
      <c r="AF107" s="43"/>
    </row>
  </sheetData>
  <sheetProtection algorithmName="SHA-512" hashValue="FX3rUKGVroNK0cqVP02hI5J/MV+1x79yRTDPSYxp9beh7rXM3cc474FAtedDhOYSwtD79hvY76IRxBA7miRm0g==" saltValue="RPhD3lG7reKnEvuWVMKu/A==" spinCount="100000" sheet="1" objects="1" scenarios="1"/>
  <protectedRanges>
    <protectedRange sqref="B8:AA107 M3:S4" name="finalScan"/>
  </protectedRanges>
  <conditionalFormatting sqref="AB8:AB107">
    <cfRule type="cellIs" dxfId="78" priority="1" operator="equal">
      <formula>FALSE</formula>
    </cfRule>
  </conditionalFormatting>
  <dataValidations count="4">
    <dataValidation type="whole" operator="greaterThanOrEqual" allowBlank="1" sqref="M8:Z107" xr:uid="{7E69D4BA-BB8C-4CC6-A535-17C16C20F527}">
      <formula1>0</formula1>
    </dataValidation>
    <dataValidation type="list" allowBlank="1" showInputMessage="1" showErrorMessage="1" sqref="I8:J107" xr:uid="{D7BC729C-D057-45E2-A880-63AC1D0DFB65}">
      <formula1>INDIRECT("score.lookUp[scores]")</formula1>
    </dataValidation>
    <dataValidation type="list" allowBlank="1" showInputMessage="1" showErrorMessage="1" sqref="D8:D107" xr:uid="{EB1D6C31-7EB3-429D-8B5D-EA05C13DAD21}">
      <formula1>"Yes,No"</formula1>
    </dataValidation>
    <dataValidation type="list" allowBlank="1" showInputMessage="1" showErrorMessage="1" sqref="E8:E107" xr:uid="{63967D35-491A-4F04-BD7B-66CB66B775B6}">
      <formula1>"Yes,No,NA"</formula1>
    </dataValidation>
  </dataValidation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copyRepoDataToFinal">
                <anchor moveWithCells="1" sizeWithCells="1">
                  <from>
                    <xdr:col>1</xdr:col>
                    <xdr:colOff>622300</xdr:colOff>
                    <xdr:row>1</xdr:row>
                    <xdr:rowOff>114300</xdr:rowOff>
                  </from>
                  <to>
                    <xdr:col>1</xdr:col>
                    <xdr:colOff>2146300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1C06B-E35D-4C02-BED0-D07444A00608}">
  <sheetPr codeName="Sheet5">
    <tabColor theme="9" tint="0.39997558519241921"/>
  </sheetPr>
  <dimension ref="A1:AC213"/>
  <sheetViews>
    <sheetView zoomScale="90" zoomScaleNormal="90" workbookViewId="0">
      <selection activeCell="T20" sqref="T20"/>
    </sheetView>
  </sheetViews>
  <sheetFormatPr defaultColWidth="8.54296875" defaultRowHeight="12" x14ac:dyDescent="0.3"/>
  <cols>
    <col min="1" max="1" width="9.453125" style="57" bestFit="1" customWidth="1"/>
    <col min="2" max="2" width="34.1796875" style="57" customWidth="1"/>
    <col min="3" max="3" width="10.453125" style="57" customWidth="1"/>
    <col min="4" max="17" width="5.453125" style="57" customWidth="1"/>
    <col min="18" max="18" width="11.453125" style="46" bestFit="1" customWidth="1"/>
    <col min="19" max="19" width="11.453125" style="46" customWidth="1"/>
    <col min="20" max="20" width="10.54296875" style="46" bestFit="1" customWidth="1"/>
    <col min="21" max="22" width="8.54296875" style="46"/>
    <col min="23" max="23" width="40.81640625" style="46" customWidth="1"/>
    <col min="24" max="16384" width="8.54296875" style="46"/>
  </cols>
  <sheetData>
    <row r="1" spans="1:29" ht="14.5" customHeight="1" x14ac:dyDescent="0.3">
      <c r="A1" s="58" t="s">
        <v>7</v>
      </c>
      <c r="B1" s="98" t="str">
        <f>IF(COUNTA('Asset summary'!C6),'Asset summary'!C6,"")</f>
        <v>IPR000670</v>
      </c>
      <c r="C1" s="58" t="s">
        <v>63</v>
      </c>
      <c r="D1" s="169">
        <f>IF(ISBLANK('Asset summary'!C9),"",'Asset summary'!C9)</f>
        <v>2.1</v>
      </c>
      <c r="E1" s="170"/>
      <c r="F1" s="170"/>
      <c r="G1" s="170"/>
      <c r="H1" s="170"/>
      <c r="I1" s="171"/>
      <c r="J1" s="161" t="s">
        <v>64</v>
      </c>
      <c r="K1" s="143"/>
      <c r="L1" s="143"/>
      <c r="M1" s="143"/>
      <c r="N1" s="143"/>
      <c r="O1" s="143"/>
      <c r="P1" s="143"/>
      <c r="Q1" s="162"/>
      <c r="R1" s="144" t="s">
        <v>197</v>
      </c>
      <c r="S1" s="137"/>
      <c r="T1" s="145"/>
    </row>
    <row r="2" spans="1:29" ht="76" x14ac:dyDescent="0.3">
      <c r="A2" s="146" t="s">
        <v>2</v>
      </c>
      <c r="B2" s="148" t="str">
        <f>IF(COUNTA('Asset summary'!C5),'Asset summary'!C5,"")</f>
        <v>Cognizant® Integrated Quality Dashboard</v>
      </c>
      <c r="C2" s="148"/>
      <c r="D2" s="148"/>
      <c r="E2" s="148"/>
      <c r="F2" s="148"/>
      <c r="G2" s="148"/>
      <c r="H2" s="149"/>
      <c r="I2" s="149"/>
      <c r="J2" s="70" t="s">
        <v>65</v>
      </c>
      <c r="K2" s="59" t="s">
        <v>66</v>
      </c>
      <c r="L2" s="59" t="s">
        <v>67</v>
      </c>
      <c r="M2" s="59" t="s">
        <v>18</v>
      </c>
      <c r="N2" s="59" t="s">
        <v>21</v>
      </c>
      <c r="O2" s="59" t="s">
        <v>24</v>
      </c>
      <c r="P2" s="59" t="s">
        <v>25</v>
      </c>
      <c r="Q2" s="71" t="s">
        <v>27</v>
      </c>
      <c r="R2" s="163" t="s">
        <v>228</v>
      </c>
      <c r="S2" s="164"/>
      <c r="T2" s="165"/>
    </row>
    <row r="3" spans="1:29" ht="19" thickBot="1" x14ac:dyDescent="0.35">
      <c r="A3" s="147"/>
      <c r="B3" s="150"/>
      <c r="C3" s="150"/>
      <c r="D3" s="150"/>
      <c r="E3" s="150"/>
      <c r="F3" s="150"/>
      <c r="G3" s="150"/>
      <c r="H3" s="151"/>
      <c r="I3" s="151"/>
      <c r="J3" s="72" t="str">
        <f>'Asset summary'!$K6</f>
        <v>C</v>
      </c>
      <c r="K3" s="60" t="str">
        <f>'Asset summary'!$K7</f>
        <v>C</v>
      </c>
      <c r="L3" s="60" t="str">
        <f>'Asset summary'!$K8</f>
        <v>C</v>
      </c>
      <c r="M3" s="60" t="str">
        <f>'Asset summary'!$K9</f>
        <v>B</v>
      </c>
      <c r="N3" s="60" t="str">
        <f>'Asset summary'!$K10</f>
        <v>A</v>
      </c>
      <c r="O3" s="60" t="str">
        <f>'Asset summary'!$K11</f>
        <v>E</v>
      </c>
      <c r="P3" s="60" t="str">
        <f>'Asset summary'!$K12</f>
        <v>C</v>
      </c>
      <c r="Q3" s="73" t="str">
        <f>'Asset summary'!$K13</f>
        <v>A</v>
      </c>
      <c r="R3" s="166"/>
      <c r="S3" s="167"/>
      <c r="T3" s="168"/>
    </row>
    <row r="4" spans="1:29" ht="14.15" customHeight="1" x14ac:dyDescent="0.3">
      <c r="A4" s="134" t="s">
        <v>68</v>
      </c>
      <c r="B4" s="137" t="s">
        <v>69</v>
      </c>
      <c r="C4" s="137" t="s">
        <v>35</v>
      </c>
      <c r="D4" s="140" t="s">
        <v>70</v>
      </c>
      <c r="E4" s="140"/>
      <c r="F4" s="140"/>
      <c r="G4" s="141" t="s">
        <v>71</v>
      </c>
      <c r="H4" s="141"/>
      <c r="I4" s="141"/>
      <c r="J4" s="141"/>
      <c r="K4" s="142" t="s">
        <v>72</v>
      </c>
      <c r="L4" s="142"/>
      <c r="M4" s="142"/>
      <c r="N4" s="126" t="s">
        <v>73</v>
      </c>
      <c r="O4" s="126"/>
      <c r="P4" s="126"/>
      <c r="Q4" s="126"/>
      <c r="R4" s="127" t="s">
        <v>74</v>
      </c>
      <c r="S4" s="127" t="s">
        <v>75</v>
      </c>
      <c r="T4" s="130" t="s">
        <v>76</v>
      </c>
    </row>
    <row r="5" spans="1:29" x14ac:dyDescent="0.3">
      <c r="A5" s="135"/>
      <c r="B5" s="138"/>
      <c r="C5" s="138"/>
      <c r="D5" s="172" t="str">
        <f>IF(COUNT(D7:F7)=3,IF(D7+E7&gt;0,"Exception raised",IF(F7&gt;0,"Ok to proceed","Looks Perfect!")),"Not Supported")</f>
        <v>Exception raised</v>
      </c>
      <c r="E5" s="173"/>
      <c r="F5" s="174"/>
      <c r="G5" s="172" t="str">
        <f>IF(COUNT(G7:J7)=4,IF(G7+I7+H7&gt;0,"Exception raised",IF(J7&gt;0,"Ok to proceed","Looks Perfect!")),"Not Supported")</f>
        <v>Exception raised</v>
      </c>
      <c r="H5" s="173"/>
      <c r="I5" s="173"/>
      <c r="J5" s="174"/>
      <c r="K5" s="172" t="str">
        <f>IF(COUNT(K7:M7)=3,IF(K7+L7+M7&gt;0,"Legal team will advice!","Looks Perfect!"),"Not Supported")</f>
        <v>Legal team will advice!</v>
      </c>
      <c r="L5" s="173"/>
      <c r="M5" s="174"/>
      <c r="N5" s="175" t="str">
        <f>IF(COUNT(N7:Q7)=4,IF(N7+O7&gt;0,"Exception raised",IF(P7+Q7&gt;0,"Ok to proceed","Looks Perfect!")),"Not Supported")</f>
        <v>Ok to proceed</v>
      </c>
      <c r="O5" s="176"/>
      <c r="P5" s="176"/>
      <c r="Q5" s="177"/>
      <c r="R5" s="128"/>
      <c r="S5" s="128"/>
      <c r="T5" s="131"/>
    </row>
    <row r="6" spans="1:29" ht="37.4" customHeight="1" x14ac:dyDescent="0.3">
      <c r="A6" s="135"/>
      <c r="B6" s="138"/>
      <c r="C6" s="138"/>
      <c r="D6" s="47" t="s">
        <v>77</v>
      </c>
      <c r="E6" s="47" t="s">
        <v>78</v>
      </c>
      <c r="F6" s="47" t="s">
        <v>79</v>
      </c>
      <c r="G6" s="47" t="s">
        <v>80</v>
      </c>
      <c r="H6" s="47" t="s">
        <v>77</v>
      </c>
      <c r="I6" s="47" t="s">
        <v>78</v>
      </c>
      <c r="J6" s="47" t="s">
        <v>79</v>
      </c>
      <c r="K6" s="47" t="s">
        <v>77</v>
      </c>
      <c r="L6" s="47" t="s">
        <v>78</v>
      </c>
      <c r="M6" s="47" t="s">
        <v>79</v>
      </c>
      <c r="N6" s="47" t="s">
        <v>81</v>
      </c>
      <c r="O6" s="47" t="s">
        <v>80</v>
      </c>
      <c r="P6" s="47" t="s">
        <v>82</v>
      </c>
      <c r="Q6" s="47" t="s">
        <v>83</v>
      </c>
      <c r="R6" s="128"/>
      <c r="S6" s="128"/>
      <c r="T6" s="131"/>
      <c r="V6" s="48" t="s">
        <v>84</v>
      </c>
      <c r="W6" s="46" t="str">
        <f>_xlfn.CONCAT("Remediation Support for ",B1," - ",B2)</f>
        <v>Remediation Support for IPR000670 - Cognizant® Integrated Quality Dashboard</v>
      </c>
    </row>
    <row r="7" spans="1:29" ht="25.4" customHeight="1" thickBot="1" x14ac:dyDescent="0.35">
      <c r="A7" s="136"/>
      <c r="B7" s="139"/>
      <c r="C7" s="139"/>
      <c r="D7" s="49">
        <f>IF(COUNT(D8:D158)&gt;0,SUM(D8:D158),"NA")</f>
        <v>0</v>
      </c>
      <c r="E7" s="49">
        <f t="shared" ref="E7:Q7" si="0">IF(COUNT(E8:E158)&gt;0,SUM(E8:E158),"NA")</f>
        <v>31</v>
      </c>
      <c r="F7" s="49">
        <f t="shared" si="0"/>
        <v>0</v>
      </c>
      <c r="G7" s="49">
        <f t="shared" si="0"/>
        <v>2</v>
      </c>
      <c r="H7" s="49">
        <f t="shared" si="0"/>
        <v>14</v>
      </c>
      <c r="I7" s="49">
        <f t="shared" si="0"/>
        <v>25</v>
      </c>
      <c r="J7" s="49">
        <f t="shared" si="0"/>
        <v>1</v>
      </c>
      <c r="K7" s="49">
        <f t="shared" si="0"/>
        <v>1</v>
      </c>
      <c r="L7" s="49">
        <f t="shared" si="0"/>
        <v>140</v>
      </c>
      <c r="M7" s="49">
        <f t="shared" si="0"/>
        <v>0</v>
      </c>
      <c r="N7" s="49">
        <f t="shared" si="0"/>
        <v>0</v>
      </c>
      <c r="O7" s="49">
        <f t="shared" si="0"/>
        <v>0</v>
      </c>
      <c r="P7" s="49">
        <f t="shared" si="0"/>
        <v>23</v>
      </c>
      <c r="Q7" s="49">
        <f t="shared" si="0"/>
        <v>17</v>
      </c>
      <c r="R7" s="129"/>
      <c r="S7" s="129"/>
      <c r="T7" s="132"/>
      <c r="V7" s="48" t="s">
        <v>85</v>
      </c>
      <c r="W7" s="50" t="str">
        <f>_xlfn.CONCAT("Open Vulnerabilities-
High: ", SUM(D7,G7,N7),"/",SUM(D7,G7,N7),"
Medium: ",SUM(E7,I7,O7),"/",SUM(E7,I7,O7),"
Low: ",SUM(F7,J7,P7),"/",SUM(F7,J7,P7))</f>
        <v>Open Vulnerabilities-
High: 2/2
Medium: 56/56
Low: 24/24</v>
      </c>
    </row>
    <row r="8" spans="1:29" ht="14.5" x14ac:dyDescent="0.35">
      <c r="A8" s="51" cm="1">
        <f t="array" ref="A8:Q20">IFERROR(_xlfn._xlws.FILTER(_xlfn._xlws.FILTER(finalScan[['#]:[Reliability Bug (Minor)]],(finalScan[Repository Name]&lt;&gt;"")*COUNT(finalScan[[SAST (High)]:[Reliability Bug (Minor)]])&gt;0),{1,1,1,0,0,0,0,0,0,0,0,0,1,1,1,1,1,1,1,1,1,1,1,1,1,1}),"")</f>
        <v>1</v>
      </c>
      <c r="B8" s="91" t="str">
        <v>ciqdashboard-ui</v>
      </c>
      <c r="C8" s="51" t="str">
        <v>TypeScript</v>
      </c>
      <c r="D8" s="52">
        <v>0</v>
      </c>
      <c r="E8" s="52">
        <v>20</v>
      </c>
      <c r="F8" s="52">
        <v>0</v>
      </c>
      <c r="G8" s="52">
        <v>1</v>
      </c>
      <c r="H8" s="52">
        <v>13</v>
      </c>
      <c r="I8" s="52">
        <v>12</v>
      </c>
      <c r="J8" s="52">
        <v>0</v>
      </c>
      <c r="K8" s="52">
        <v>0</v>
      </c>
      <c r="L8" s="52">
        <v>1</v>
      </c>
      <c r="M8" s="52">
        <v>0</v>
      </c>
      <c r="N8" s="52">
        <v>0</v>
      </c>
      <c r="O8" s="52">
        <v>0</v>
      </c>
      <c r="P8" s="52">
        <v>23</v>
      </c>
      <c r="Q8" s="52">
        <v>17</v>
      </c>
      <c r="R8" s="179" t="s">
        <v>212</v>
      </c>
      <c r="S8" s="179" t="s">
        <v>213</v>
      </c>
      <c r="T8" s="51" t="s">
        <v>76</v>
      </c>
    </row>
    <row r="9" spans="1:29" ht="14.5" x14ac:dyDescent="0.35">
      <c r="A9" s="53">
        <v>2</v>
      </c>
      <c r="B9" s="92" t="str">
        <v>ciqdashboard-api</v>
      </c>
      <c r="C9" s="53" t="str">
        <v>Java</v>
      </c>
      <c r="D9" s="54">
        <v>0</v>
      </c>
      <c r="E9" s="54">
        <v>0</v>
      </c>
      <c r="F9" s="54">
        <v>0</v>
      </c>
      <c r="G9" s="54">
        <v>1</v>
      </c>
      <c r="H9" s="54">
        <v>0</v>
      </c>
      <c r="I9" s="54">
        <v>1</v>
      </c>
      <c r="J9" s="54">
        <v>0</v>
      </c>
      <c r="K9" s="54">
        <v>0</v>
      </c>
      <c r="L9" s="54">
        <v>14</v>
      </c>
      <c r="M9" s="54">
        <v>0</v>
      </c>
      <c r="N9" s="54">
        <v>0</v>
      </c>
      <c r="O9" s="54">
        <v>0</v>
      </c>
      <c r="P9" s="54">
        <v>0</v>
      </c>
      <c r="Q9" s="54">
        <v>0</v>
      </c>
      <c r="R9" s="120" t="s">
        <v>212</v>
      </c>
      <c r="S9" s="120" t="s">
        <v>213</v>
      </c>
      <c r="T9" s="53" t="s">
        <v>76</v>
      </c>
    </row>
    <row r="10" spans="1:29" ht="14.5" x14ac:dyDescent="0.35">
      <c r="A10" s="55">
        <v>3</v>
      </c>
      <c r="B10" s="55" t="str">
        <v>ciqdashboard-auth</v>
      </c>
      <c r="C10" s="55" t="str">
        <v>Java</v>
      </c>
      <c r="D10" s="56">
        <v>0</v>
      </c>
      <c r="E10" s="56">
        <v>11</v>
      </c>
      <c r="F10" s="56">
        <v>0</v>
      </c>
      <c r="G10" s="56">
        <v>0</v>
      </c>
      <c r="H10" s="56">
        <v>0</v>
      </c>
      <c r="I10" s="56">
        <v>1</v>
      </c>
      <c r="J10" s="56">
        <v>1</v>
      </c>
      <c r="K10" s="56">
        <v>1</v>
      </c>
      <c r="L10" s="56">
        <v>12</v>
      </c>
      <c r="M10" s="56">
        <v>0</v>
      </c>
      <c r="N10" s="56">
        <v>0</v>
      </c>
      <c r="O10" s="56">
        <v>0</v>
      </c>
      <c r="P10" s="56">
        <v>0</v>
      </c>
      <c r="Q10" s="56">
        <v>0</v>
      </c>
      <c r="R10" s="119" t="s">
        <v>212</v>
      </c>
      <c r="S10" s="119" t="s">
        <v>213</v>
      </c>
      <c r="T10" s="55" t="s">
        <v>76</v>
      </c>
    </row>
    <row r="11" spans="1:29" ht="14.5" x14ac:dyDescent="0.35">
      <c r="A11" s="53">
        <v>4</v>
      </c>
      <c r="B11" s="53" t="str">
        <v>ciqdashboard-metric-services</v>
      </c>
      <c r="C11" s="53" t="str">
        <v>Java</v>
      </c>
      <c r="D11" s="54">
        <v>0</v>
      </c>
      <c r="E11" s="54">
        <v>0</v>
      </c>
      <c r="F11" s="54">
        <v>0</v>
      </c>
      <c r="G11" s="54">
        <v>0</v>
      </c>
      <c r="H11" s="54">
        <v>0</v>
      </c>
      <c r="I11" s="54">
        <v>1</v>
      </c>
      <c r="J11" s="54">
        <v>0</v>
      </c>
      <c r="K11" s="54">
        <v>0</v>
      </c>
      <c r="L11" s="54">
        <v>5</v>
      </c>
      <c r="M11" s="54">
        <v>0</v>
      </c>
      <c r="N11" s="54">
        <v>0</v>
      </c>
      <c r="O11" s="54">
        <v>0</v>
      </c>
      <c r="P11" s="54">
        <v>0</v>
      </c>
      <c r="Q11" s="54">
        <v>0</v>
      </c>
      <c r="R11" s="120" t="s">
        <v>212</v>
      </c>
      <c r="S11" s="120" t="s">
        <v>213</v>
      </c>
      <c r="T11" s="53" t="s">
        <v>76</v>
      </c>
    </row>
    <row r="12" spans="1:29" ht="14.5" x14ac:dyDescent="0.35">
      <c r="A12" s="55">
        <v>5</v>
      </c>
      <c r="B12" s="55" t="str">
        <v>ciqdashboard-collector-jira</v>
      </c>
      <c r="C12" s="55" t="str">
        <v>Java</v>
      </c>
      <c r="D12" s="56">
        <v>0</v>
      </c>
      <c r="E12" s="56">
        <v>0</v>
      </c>
      <c r="F12" s="56">
        <v>0</v>
      </c>
      <c r="G12" s="56">
        <v>0</v>
      </c>
      <c r="H12" s="56">
        <v>0</v>
      </c>
      <c r="I12" s="56">
        <v>1</v>
      </c>
      <c r="J12" s="56">
        <v>0</v>
      </c>
      <c r="K12" s="56">
        <v>0</v>
      </c>
      <c r="L12" s="56">
        <v>12</v>
      </c>
      <c r="M12" s="56">
        <v>0</v>
      </c>
      <c r="N12" s="56">
        <v>0</v>
      </c>
      <c r="O12" s="56">
        <v>0</v>
      </c>
      <c r="P12" s="56">
        <v>0</v>
      </c>
      <c r="Q12" s="56">
        <v>0</v>
      </c>
      <c r="R12" s="119" t="s">
        <v>212</v>
      </c>
      <c r="S12" s="119" t="s">
        <v>213</v>
      </c>
      <c r="T12" s="55" t="s">
        <v>76</v>
      </c>
    </row>
    <row r="13" spans="1:29" ht="14.5" x14ac:dyDescent="0.35">
      <c r="A13" s="53">
        <v>6</v>
      </c>
      <c r="B13" s="53" t="str">
        <v>ciqdashboard-collector-github</v>
      </c>
      <c r="C13" s="53" t="str">
        <v>Java</v>
      </c>
      <c r="D13" s="54">
        <v>0</v>
      </c>
      <c r="E13" s="54">
        <v>0</v>
      </c>
      <c r="F13" s="54">
        <v>0</v>
      </c>
      <c r="G13" s="54">
        <v>0</v>
      </c>
      <c r="H13" s="54">
        <v>0</v>
      </c>
      <c r="I13" s="54">
        <v>1</v>
      </c>
      <c r="J13" s="54">
        <v>0</v>
      </c>
      <c r="K13" s="54">
        <v>0</v>
      </c>
      <c r="L13" s="54">
        <v>12</v>
      </c>
      <c r="M13" s="54">
        <v>0</v>
      </c>
      <c r="N13" s="54">
        <v>0</v>
      </c>
      <c r="O13" s="54">
        <v>0</v>
      </c>
      <c r="P13" s="54">
        <v>0</v>
      </c>
      <c r="Q13" s="54">
        <v>0</v>
      </c>
      <c r="R13" s="120" t="s">
        <v>212</v>
      </c>
      <c r="S13" s="120" t="s">
        <v>213</v>
      </c>
      <c r="T13" s="53" t="s">
        <v>76</v>
      </c>
    </row>
    <row r="14" spans="1:29" ht="14.5" x14ac:dyDescent="0.35">
      <c r="A14" s="55">
        <v>7</v>
      </c>
      <c r="B14" s="55" t="str">
        <v>ciqdashboard-collector-jenkins</v>
      </c>
      <c r="C14" s="55" t="str">
        <v>Java</v>
      </c>
      <c r="D14" s="56">
        <v>0</v>
      </c>
      <c r="E14" s="56">
        <v>0</v>
      </c>
      <c r="F14" s="56">
        <v>0</v>
      </c>
      <c r="G14" s="56">
        <v>0</v>
      </c>
      <c r="H14" s="56">
        <v>0</v>
      </c>
      <c r="I14" s="56">
        <v>1</v>
      </c>
      <c r="J14" s="56">
        <v>0</v>
      </c>
      <c r="K14" s="56">
        <v>0</v>
      </c>
      <c r="L14" s="56">
        <v>12</v>
      </c>
      <c r="M14" s="56">
        <v>0</v>
      </c>
      <c r="N14" s="56">
        <v>0</v>
      </c>
      <c r="O14" s="56">
        <v>0</v>
      </c>
      <c r="P14" s="56">
        <v>0</v>
      </c>
      <c r="Q14" s="56">
        <v>0</v>
      </c>
      <c r="R14" s="119" t="s">
        <v>212</v>
      </c>
      <c r="S14" s="119" t="s">
        <v>213</v>
      </c>
      <c r="T14" s="55" t="s">
        <v>76</v>
      </c>
      <c r="W14" s="104" t="s">
        <v>181</v>
      </c>
      <c r="X14" s="46" t="str">
        <f>IF(ISBLANK('Initial Email table'!X15),"",'Initial Email table'!X15)</f>
        <v>No</v>
      </c>
      <c r="Y14" s="100"/>
      <c r="AA14" s="100"/>
      <c r="AB14" s="100"/>
      <c r="AC14" s="100" t="str">
        <f>IF(X14="","",_xlfn.CONCAT(CHAR(34),$W$14,CHAR(34),":",CHAR(34),$X$14,CHAR(34)))</f>
        <v>"scan config updated":"No"</v>
      </c>
    </row>
    <row r="15" spans="1:29" ht="14.5" x14ac:dyDescent="0.35">
      <c r="A15" s="53">
        <v>8</v>
      </c>
      <c r="B15" s="53" t="str">
        <v>ciqdashboard-collector-alm</v>
      </c>
      <c r="C15" s="53" t="str">
        <v>Java</v>
      </c>
      <c r="D15" s="54">
        <v>0</v>
      </c>
      <c r="E15" s="54">
        <v>0</v>
      </c>
      <c r="F15" s="54">
        <v>0</v>
      </c>
      <c r="G15" s="54">
        <v>0</v>
      </c>
      <c r="H15" s="54">
        <v>0</v>
      </c>
      <c r="I15" s="54">
        <v>1</v>
      </c>
      <c r="J15" s="54">
        <v>0</v>
      </c>
      <c r="K15" s="54">
        <v>0</v>
      </c>
      <c r="L15" s="54">
        <v>12</v>
      </c>
      <c r="M15" s="54">
        <v>0</v>
      </c>
      <c r="N15" s="54">
        <v>0</v>
      </c>
      <c r="O15" s="54">
        <v>0</v>
      </c>
      <c r="P15" s="54">
        <v>0</v>
      </c>
      <c r="Q15" s="54">
        <v>0</v>
      </c>
      <c r="R15" s="120" t="s">
        <v>212</v>
      </c>
      <c r="S15" s="120" t="s">
        <v>213</v>
      </c>
      <c r="T15" s="53" t="s">
        <v>76</v>
      </c>
      <c r="W15" s="100"/>
      <c r="X15" s="100"/>
      <c r="Y15" s="100"/>
      <c r="AA15" s="100"/>
      <c r="AB15" s="100"/>
      <c r="AC15" s="100"/>
    </row>
    <row r="16" spans="1:29" ht="14.5" x14ac:dyDescent="0.35">
      <c r="A16" s="55">
        <v>9</v>
      </c>
      <c r="B16" s="55" t="str">
        <v>ciqdashboard-collector-rally</v>
      </c>
      <c r="C16" s="55" t="str">
        <v>Java</v>
      </c>
      <c r="D16" s="56">
        <v>0</v>
      </c>
      <c r="E16" s="56">
        <v>0</v>
      </c>
      <c r="F16" s="56">
        <v>0</v>
      </c>
      <c r="G16" s="56">
        <v>0</v>
      </c>
      <c r="H16" s="56">
        <v>0</v>
      </c>
      <c r="I16" s="56">
        <v>1</v>
      </c>
      <c r="J16" s="56">
        <v>0</v>
      </c>
      <c r="K16" s="56">
        <v>0</v>
      </c>
      <c r="L16" s="56">
        <v>12</v>
      </c>
      <c r="M16" s="56">
        <v>0</v>
      </c>
      <c r="N16" s="56">
        <v>0</v>
      </c>
      <c r="O16" s="56">
        <v>0</v>
      </c>
      <c r="P16" s="56">
        <v>0</v>
      </c>
      <c r="Q16" s="56">
        <v>0</v>
      </c>
      <c r="R16" s="119" t="s">
        <v>212</v>
      </c>
      <c r="S16" s="119" t="s">
        <v>213</v>
      </c>
      <c r="T16" s="55" t="s">
        <v>76</v>
      </c>
      <c r="W16" s="104" t="s">
        <v>182</v>
      </c>
      <c r="X16" s="100" t="str">
        <f>IF(ISBLANK('Initial Email table'!X17),"",'Initial Email table'!X17)</f>
        <v/>
      </c>
      <c r="Y16" s="100"/>
      <c r="AA16" s="100"/>
      <c r="AB16" s="100"/>
      <c r="AC16" s="100" t="str">
        <f>IF(X16="","",_xlfn.CONCAT(CHAR(34),$W$16,CHAR(34),":",CHAR(34),MONTH(X16),"/",DAY(X16),"/",YEAR(X16),CHAR(34)))</f>
        <v/>
      </c>
    </row>
    <row r="17" spans="1:29" ht="14.5" x14ac:dyDescent="0.35">
      <c r="A17" s="53">
        <v>10</v>
      </c>
      <c r="B17" s="53" t="str">
        <v>IPR000670_ciqdashboard-collector-jira-xray-cloud</v>
      </c>
      <c r="C17" s="53" t="str">
        <v>Java</v>
      </c>
      <c r="D17" s="54">
        <v>0</v>
      </c>
      <c r="E17" s="54">
        <v>0</v>
      </c>
      <c r="F17" s="54">
        <v>0</v>
      </c>
      <c r="G17" s="54">
        <v>0</v>
      </c>
      <c r="H17" s="54">
        <v>0</v>
      </c>
      <c r="I17" s="54">
        <v>1</v>
      </c>
      <c r="J17" s="54">
        <v>0</v>
      </c>
      <c r="K17" s="54">
        <v>0</v>
      </c>
      <c r="L17" s="54">
        <v>12</v>
      </c>
      <c r="M17" s="54">
        <v>0</v>
      </c>
      <c r="N17" s="54">
        <v>0</v>
      </c>
      <c r="O17" s="54">
        <v>0</v>
      </c>
      <c r="P17" s="54">
        <v>0</v>
      </c>
      <c r="Q17" s="54">
        <v>0</v>
      </c>
      <c r="R17" s="120" t="s">
        <v>212</v>
      </c>
      <c r="S17" s="120" t="s">
        <v>213</v>
      </c>
      <c r="T17" s="53" t="s">
        <v>76</v>
      </c>
      <c r="W17" s="100"/>
      <c r="X17" s="100"/>
      <c r="Y17" s="100"/>
      <c r="AA17" s="100"/>
      <c r="AB17" s="100"/>
      <c r="AC17" s="100"/>
    </row>
    <row r="18" spans="1:29" ht="14.5" x14ac:dyDescent="0.35">
      <c r="A18" s="55">
        <v>11</v>
      </c>
      <c r="B18" s="55" t="str">
        <v>IPR000670_ciqdashboard-collector-jira-zephyrscale</v>
      </c>
      <c r="C18" s="55" t="str">
        <v>Java</v>
      </c>
      <c r="D18" s="56">
        <v>0</v>
      </c>
      <c r="E18" s="56">
        <v>0</v>
      </c>
      <c r="F18" s="56">
        <v>0</v>
      </c>
      <c r="G18" s="56">
        <v>0</v>
      </c>
      <c r="H18" s="56">
        <v>1</v>
      </c>
      <c r="I18" s="56">
        <v>2</v>
      </c>
      <c r="J18" s="56">
        <v>0</v>
      </c>
      <c r="K18" s="56">
        <v>0</v>
      </c>
      <c r="L18" s="56">
        <v>12</v>
      </c>
      <c r="M18" s="56">
        <v>0</v>
      </c>
      <c r="N18" s="56">
        <v>0</v>
      </c>
      <c r="O18" s="56">
        <v>0</v>
      </c>
      <c r="P18" s="56">
        <v>0</v>
      </c>
      <c r="Q18" s="56">
        <v>0</v>
      </c>
      <c r="R18" s="119" t="s">
        <v>212</v>
      </c>
      <c r="S18" s="119" t="s">
        <v>213</v>
      </c>
      <c r="T18" s="55" t="s">
        <v>76</v>
      </c>
      <c r="W18" s="100"/>
      <c r="X18" s="101" t="s">
        <v>183</v>
      </c>
      <c r="Y18" s="101" t="s">
        <v>184</v>
      </c>
      <c r="AA18" s="100"/>
      <c r="AB18" s="100"/>
      <c r="AC18" s="100"/>
    </row>
    <row r="19" spans="1:29" ht="14.5" x14ac:dyDescent="0.35">
      <c r="A19" s="53">
        <v>12</v>
      </c>
      <c r="B19" s="53" t="str">
        <v>IPR000670_ciqdashboard-collector-jira-zephyr-xray-cloud</v>
      </c>
      <c r="C19" s="53" t="str">
        <v>Java</v>
      </c>
      <c r="D19" s="54">
        <v>0</v>
      </c>
      <c r="E19" s="54">
        <v>0</v>
      </c>
      <c r="F19" s="54">
        <v>0</v>
      </c>
      <c r="G19" s="54">
        <v>0</v>
      </c>
      <c r="H19" s="54">
        <v>0</v>
      </c>
      <c r="I19" s="54">
        <v>1</v>
      </c>
      <c r="J19" s="54">
        <v>0</v>
      </c>
      <c r="K19" s="54">
        <v>0</v>
      </c>
      <c r="L19" s="54">
        <v>12</v>
      </c>
      <c r="M19" s="54">
        <v>0</v>
      </c>
      <c r="N19" s="54">
        <v>0</v>
      </c>
      <c r="O19" s="54">
        <v>0</v>
      </c>
      <c r="P19" s="54">
        <v>0</v>
      </c>
      <c r="Q19" s="54">
        <v>0</v>
      </c>
      <c r="R19" s="120" t="s">
        <v>212</v>
      </c>
      <c r="S19" s="120" t="s">
        <v>213</v>
      </c>
      <c r="T19" s="53" t="s">
        <v>76</v>
      </c>
      <c r="W19" s="100" t="s">
        <v>185</v>
      </c>
      <c r="X19" s="103">
        <f>'Initial Email table'!X20</f>
        <v>5</v>
      </c>
      <c r="Y19" s="102">
        <f>D7</f>
        <v>0</v>
      </c>
      <c r="AA19" s="100"/>
      <c r="AB19" s="100"/>
      <c r="AC19" s="100" t="str">
        <f>IF(AND(X19&gt;0,NOT(X19="NA")),_xlfn.CONCAT(CHAR(34),$W19,CHAR(34),":{",_xlfn.CONCAT(CHAR(34),$X$18,CHAR(34),":",X19,","),_xlfn.CONCAT(CHAR(34),$Y$18,CHAR(34),":",Y19),"}"),"")</f>
        <v>"SAST-High":{"initial":5,"final":0}</v>
      </c>
    </row>
    <row r="20" spans="1:29" ht="14.5" x14ac:dyDescent="0.35">
      <c r="A20" s="55">
        <v>13</v>
      </c>
      <c r="B20" s="55" t="str">
        <v>ciqdashboard-collector-jira-zephyr-cloud</v>
      </c>
      <c r="C20" s="55" t="str">
        <v>Java</v>
      </c>
      <c r="D20" s="56">
        <v>0</v>
      </c>
      <c r="E20" s="56">
        <v>0</v>
      </c>
      <c r="F20" s="56">
        <v>0</v>
      </c>
      <c r="G20" s="56">
        <v>0</v>
      </c>
      <c r="H20" s="56">
        <v>0</v>
      </c>
      <c r="I20" s="56">
        <v>1</v>
      </c>
      <c r="J20" s="56">
        <v>0</v>
      </c>
      <c r="K20" s="56">
        <v>0</v>
      </c>
      <c r="L20" s="56">
        <v>12</v>
      </c>
      <c r="M20" s="56">
        <v>0</v>
      </c>
      <c r="N20" s="56">
        <v>0</v>
      </c>
      <c r="O20" s="56">
        <v>0</v>
      </c>
      <c r="P20" s="56">
        <v>0</v>
      </c>
      <c r="Q20" s="56">
        <v>0</v>
      </c>
      <c r="R20" s="119" t="s">
        <v>212</v>
      </c>
      <c r="S20" s="119" t="s">
        <v>213</v>
      </c>
      <c r="T20" s="55" t="s">
        <v>76</v>
      </c>
      <c r="W20" s="100" t="s">
        <v>186</v>
      </c>
      <c r="X20" s="103">
        <f>'Initial Email table'!X21</f>
        <v>36</v>
      </c>
      <c r="Y20" s="102">
        <f>E7</f>
        <v>31</v>
      </c>
      <c r="AA20" s="100"/>
      <c r="AB20" s="100"/>
      <c r="AC20" s="100" t="str">
        <f t="shared" ref="AC20:AC25" si="1">IF(AND(X20&gt;0,NOT(X20="NA")),_xlfn.CONCAT(CHAR(34),$W20,CHAR(34),":{",_xlfn.CONCAT(CHAR(34),$X$18,CHAR(34),":",X20,","),_xlfn.CONCAT(CHAR(34),$Y$18,CHAR(34),":",Y20),"}"),"")</f>
        <v>"SAST-Medium":{"initial":36,"final":31}</v>
      </c>
    </row>
    <row r="21" spans="1:29" x14ac:dyDescent="0.3">
      <c r="A21" s="53"/>
      <c r="B21" s="53"/>
      <c r="C21" s="53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3"/>
      <c r="S21" s="53"/>
      <c r="T21" s="53"/>
      <c r="W21" s="100" t="s">
        <v>187</v>
      </c>
      <c r="X21" s="103">
        <f>'Initial Email table'!X22</f>
        <v>22</v>
      </c>
      <c r="Y21" s="102">
        <f>G7</f>
        <v>2</v>
      </c>
      <c r="AA21" s="100"/>
      <c r="AB21" s="100"/>
      <c r="AC21" s="100" t="str">
        <f t="shared" si="1"/>
        <v>"FOSS-Critical":{"initial":22,"final":2}</v>
      </c>
    </row>
    <row r="22" spans="1:29" x14ac:dyDescent="0.3">
      <c r="A22" s="55"/>
      <c r="B22" s="55"/>
      <c r="C22" s="55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5"/>
      <c r="S22" s="55"/>
      <c r="T22" s="55"/>
      <c r="W22" s="100" t="s">
        <v>188</v>
      </c>
      <c r="X22" s="103">
        <f>'Initial Email table'!X23</f>
        <v>91</v>
      </c>
      <c r="Y22" s="102">
        <f>H7</f>
        <v>14</v>
      </c>
      <c r="AA22" s="100"/>
      <c r="AB22" s="100"/>
      <c r="AC22" s="100" t="str">
        <f t="shared" si="1"/>
        <v>"FOSS-High":{"initial":91,"final":14}</v>
      </c>
    </row>
    <row r="23" spans="1:29" x14ac:dyDescent="0.3">
      <c r="A23" s="53"/>
      <c r="B23" s="53"/>
      <c r="C23" s="53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3"/>
      <c r="S23" s="53"/>
      <c r="T23" s="53"/>
      <c r="W23" s="100" t="s">
        <v>189</v>
      </c>
      <c r="X23" s="103">
        <f>'Initial Email table'!X24</f>
        <v>102</v>
      </c>
      <c r="Y23" s="102">
        <f>I7</f>
        <v>25</v>
      </c>
      <c r="AA23" s="100"/>
      <c r="AB23" s="100"/>
      <c r="AC23" s="100" t="str">
        <f t="shared" si="1"/>
        <v>"FOSS-Medium":{"initial":102,"final":25}</v>
      </c>
    </row>
    <row r="24" spans="1:29" x14ac:dyDescent="0.3">
      <c r="A24" s="55"/>
      <c r="B24" s="55"/>
      <c r="C24" s="55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5"/>
      <c r="S24" s="55"/>
      <c r="T24" s="55"/>
      <c r="W24" s="100" t="s">
        <v>190</v>
      </c>
      <c r="X24" s="103">
        <f>'Initial Email table'!X25</f>
        <v>1</v>
      </c>
      <c r="Y24" s="102">
        <f>N7</f>
        <v>0</v>
      </c>
      <c r="AA24" s="100"/>
      <c r="AB24" s="100"/>
      <c r="AC24" s="100" t="str">
        <f t="shared" si="1"/>
        <v>"Sonar-Blocker":{"initial":1,"final":0}</v>
      </c>
    </row>
    <row r="25" spans="1:29" x14ac:dyDescent="0.3">
      <c r="A25" s="53"/>
      <c r="B25" s="53"/>
      <c r="C25" s="53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3"/>
      <c r="S25" s="53"/>
      <c r="T25" s="53"/>
      <c r="W25" s="100" t="s">
        <v>191</v>
      </c>
      <c r="X25" s="103">
        <f>'Initial Email table'!X26</f>
        <v>2</v>
      </c>
      <c r="Y25" s="102">
        <f>O7</f>
        <v>0</v>
      </c>
      <c r="AA25" s="100"/>
      <c r="AB25" s="100"/>
      <c r="AC25" s="100" t="str">
        <f t="shared" si="1"/>
        <v>"Sonar-Critical":{"initial":2,"final":0}</v>
      </c>
    </row>
    <row r="26" spans="1:29" x14ac:dyDescent="0.3">
      <c r="A26" s="55"/>
      <c r="B26" s="55"/>
      <c r="C26" s="55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5"/>
      <c r="S26" s="55"/>
      <c r="T26" s="55"/>
    </row>
    <row r="27" spans="1:29" x14ac:dyDescent="0.3">
      <c r="A27" s="53"/>
      <c r="B27" s="53"/>
      <c r="C27" s="53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3"/>
      <c r="S27" s="53"/>
      <c r="T27" s="53"/>
    </row>
    <row r="28" spans="1:29" x14ac:dyDescent="0.3">
      <c r="A28" s="55"/>
      <c r="B28" s="55"/>
      <c r="C28" s="55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/>
      <c r="P28" s="56"/>
      <c r="Q28" s="56"/>
      <c r="R28" s="55"/>
      <c r="S28" s="55"/>
      <c r="T28" s="55"/>
      <c r="W28" s="107" t="str">
        <f>_xlfn.CONCAT("{",_xlfn.TEXTJOIN(",",TRUE,AC14:AC25),"}")</f>
        <v>{"scan config updated":"No","SAST-High":{"initial":5,"final":0},"SAST-Medium":{"initial":36,"final":31},"FOSS-Critical":{"initial":22,"final":2},"FOSS-High":{"initial":91,"final":14},"FOSS-Medium":{"initial":102,"final":25},"Sonar-Blocker":{"initial":1,"final":0},"Sonar-Critical":{"initial":2,"final":0}}</v>
      </c>
    </row>
    <row r="29" spans="1:29" x14ac:dyDescent="0.3">
      <c r="A29" s="53"/>
      <c r="B29" s="53"/>
      <c r="C29" s="53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3"/>
      <c r="S29" s="53"/>
      <c r="T29" s="53"/>
    </row>
    <row r="30" spans="1:29" x14ac:dyDescent="0.3">
      <c r="A30" s="55"/>
      <c r="B30" s="55"/>
      <c r="C30" s="55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/>
      <c r="P30" s="56"/>
      <c r="Q30" s="56"/>
      <c r="R30" s="55"/>
      <c r="S30" s="55"/>
      <c r="T30" s="55"/>
    </row>
    <row r="31" spans="1:29" x14ac:dyDescent="0.3">
      <c r="A31" s="53"/>
      <c r="B31" s="53"/>
      <c r="C31" s="53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3"/>
      <c r="S31" s="53"/>
      <c r="T31" s="53"/>
    </row>
    <row r="32" spans="1:29" x14ac:dyDescent="0.3">
      <c r="A32" s="55"/>
      <c r="B32" s="55"/>
      <c r="C32" s="55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/>
      <c r="P32" s="56"/>
      <c r="Q32" s="56"/>
      <c r="R32" s="55"/>
      <c r="S32" s="55"/>
      <c r="T32" s="55"/>
    </row>
    <row r="33" spans="1:20" x14ac:dyDescent="0.3">
      <c r="A33" s="53"/>
      <c r="B33" s="53"/>
      <c r="C33" s="53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3"/>
      <c r="S33" s="53"/>
      <c r="T33" s="53"/>
    </row>
    <row r="34" spans="1:20" x14ac:dyDescent="0.3">
      <c r="A34" s="55"/>
      <c r="B34" s="55"/>
      <c r="C34" s="55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5"/>
      <c r="S34" s="55"/>
      <c r="T34" s="55"/>
    </row>
    <row r="35" spans="1:20" x14ac:dyDescent="0.3">
      <c r="A35" s="53"/>
      <c r="B35" s="53"/>
      <c r="C35" s="53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3"/>
      <c r="S35" s="53"/>
      <c r="T35" s="53"/>
    </row>
    <row r="36" spans="1:20" x14ac:dyDescent="0.3">
      <c r="A36" s="55"/>
      <c r="B36" s="55"/>
      <c r="C36" s="55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5"/>
      <c r="S36" s="55"/>
      <c r="T36" s="55"/>
    </row>
    <row r="37" spans="1:20" x14ac:dyDescent="0.3">
      <c r="A37" s="53"/>
      <c r="B37" s="53"/>
      <c r="C37" s="53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3"/>
      <c r="S37" s="53"/>
      <c r="T37" s="53"/>
    </row>
    <row r="38" spans="1:20" x14ac:dyDescent="0.3">
      <c r="A38" s="55"/>
      <c r="B38" s="55"/>
      <c r="C38" s="55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5"/>
      <c r="S38" s="55"/>
      <c r="T38" s="55"/>
    </row>
    <row r="39" spans="1:20" x14ac:dyDescent="0.3">
      <c r="A39" s="53"/>
      <c r="B39" s="53"/>
      <c r="C39" s="53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3"/>
      <c r="S39" s="53"/>
      <c r="T39" s="53"/>
    </row>
    <row r="40" spans="1:20" x14ac:dyDescent="0.3">
      <c r="A40" s="55"/>
      <c r="B40" s="55"/>
      <c r="C40" s="55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/>
      <c r="P40" s="56"/>
      <c r="Q40" s="56"/>
      <c r="R40" s="55"/>
      <c r="S40" s="55"/>
      <c r="T40" s="55"/>
    </row>
    <row r="41" spans="1:20" x14ac:dyDescent="0.3">
      <c r="A41" s="53"/>
      <c r="B41" s="53"/>
      <c r="C41" s="53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3"/>
      <c r="S41" s="53"/>
      <c r="T41" s="53"/>
    </row>
    <row r="42" spans="1:20" x14ac:dyDescent="0.3">
      <c r="A42" s="55"/>
      <c r="B42" s="55"/>
      <c r="C42" s="55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/>
      <c r="P42" s="56"/>
      <c r="Q42" s="56"/>
      <c r="R42" s="55"/>
      <c r="S42" s="55"/>
      <c r="T42" s="55"/>
    </row>
    <row r="43" spans="1:20" x14ac:dyDescent="0.3">
      <c r="A43" s="53"/>
      <c r="B43" s="53"/>
      <c r="C43" s="53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3"/>
      <c r="S43" s="53"/>
      <c r="T43" s="53"/>
    </row>
    <row r="44" spans="1:20" x14ac:dyDescent="0.3">
      <c r="A44" s="55"/>
      <c r="B44" s="55"/>
      <c r="C44" s="55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/>
      <c r="P44" s="56"/>
      <c r="Q44" s="56"/>
      <c r="R44" s="55"/>
      <c r="S44" s="55"/>
      <c r="T44" s="55"/>
    </row>
    <row r="45" spans="1:20" x14ac:dyDescent="0.3">
      <c r="A45" s="53"/>
      <c r="B45" s="53"/>
      <c r="C45" s="53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3"/>
      <c r="S45" s="53"/>
      <c r="T45" s="53"/>
    </row>
    <row r="46" spans="1:20" x14ac:dyDescent="0.3">
      <c r="A46" s="55"/>
      <c r="B46" s="55"/>
      <c r="C46" s="55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/>
      <c r="P46" s="56"/>
      <c r="Q46" s="56"/>
      <c r="R46" s="55"/>
      <c r="S46" s="55"/>
      <c r="T46" s="55"/>
    </row>
    <row r="47" spans="1:20" x14ac:dyDescent="0.3">
      <c r="A47" s="53"/>
      <c r="B47" s="53"/>
      <c r="C47" s="53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3"/>
      <c r="S47" s="53"/>
      <c r="T47" s="53"/>
    </row>
    <row r="48" spans="1:20" x14ac:dyDescent="0.3">
      <c r="A48" s="55"/>
      <c r="B48" s="55"/>
      <c r="C48" s="55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/>
      <c r="P48" s="56"/>
      <c r="Q48" s="56"/>
      <c r="R48" s="55"/>
      <c r="S48" s="55"/>
      <c r="T48" s="55"/>
    </row>
    <row r="49" spans="1:20" x14ac:dyDescent="0.3">
      <c r="A49" s="53"/>
      <c r="B49" s="53"/>
      <c r="C49" s="53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3"/>
      <c r="S49" s="53"/>
      <c r="T49" s="53"/>
    </row>
    <row r="50" spans="1:20" x14ac:dyDescent="0.3">
      <c r="A50" s="55"/>
      <c r="B50" s="55"/>
      <c r="C50" s="55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5"/>
      <c r="S50" s="55"/>
      <c r="T50" s="55"/>
    </row>
    <row r="51" spans="1:20" x14ac:dyDescent="0.3">
      <c r="A51" s="53"/>
      <c r="B51" s="53"/>
      <c r="C51" s="53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3"/>
      <c r="S51" s="53"/>
      <c r="T51" s="53"/>
    </row>
    <row r="52" spans="1:20" x14ac:dyDescent="0.3">
      <c r="A52" s="55"/>
      <c r="B52" s="55"/>
      <c r="C52" s="55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  <c r="P52" s="56"/>
      <c r="Q52" s="56"/>
      <c r="R52" s="55"/>
      <c r="S52" s="55"/>
      <c r="T52" s="55"/>
    </row>
    <row r="53" spans="1:20" x14ac:dyDescent="0.3">
      <c r="A53" s="53"/>
      <c r="B53" s="53"/>
      <c r="C53" s="53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3"/>
      <c r="S53" s="53"/>
      <c r="T53" s="53"/>
    </row>
    <row r="54" spans="1:20" x14ac:dyDescent="0.3">
      <c r="A54" s="55"/>
      <c r="B54" s="55"/>
      <c r="C54" s="55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5"/>
      <c r="S54" s="55"/>
      <c r="T54" s="55"/>
    </row>
    <row r="55" spans="1:20" x14ac:dyDescent="0.3">
      <c r="A55" s="53"/>
      <c r="B55" s="53"/>
      <c r="C55" s="53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3"/>
      <c r="S55" s="53"/>
      <c r="T55" s="53"/>
    </row>
    <row r="56" spans="1:20" x14ac:dyDescent="0.3">
      <c r="A56" s="55"/>
      <c r="B56" s="55"/>
      <c r="C56" s="55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/>
      <c r="P56" s="56"/>
      <c r="Q56" s="56"/>
      <c r="R56" s="55"/>
      <c r="S56" s="55"/>
      <c r="T56" s="55"/>
    </row>
    <row r="57" spans="1:20" x14ac:dyDescent="0.3">
      <c r="A57" s="53"/>
      <c r="B57" s="53"/>
      <c r="C57" s="53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3"/>
      <c r="S57" s="53"/>
      <c r="T57" s="53"/>
    </row>
    <row r="58" spans="1:20" x14ac:dyDescent="0.3">
      <c r="A58" s="55"/>
      <c r="B58" s="55"/>
      <c r="C58" s="55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/>
      <c r="P58" s="56"/>
      <c r="Q58" s="56"/>
      <c r="R58" s="55"/>
      <c r="S58" s="55"/>
      <c r="T58" s="55"/>
    </row>
    <row r="59" spans="1:20" x14ac:dyDescent="0.3">
      <c r="A59" s="53"/>
      <c r="B59" s="53"/>
      <c r="C59" s="53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3"/>
      <c r="S59" s="53"/>
      <c r="T59" s="53"/>
    </row>
    <row r="60" spans="1:20" x14ac:dyDescent="0.3">
      <c r="A60" s="55"/>
      <c r="B60" s="55"/>
      <c r="C60" s="55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5"/>
      <c r="S60" s="55"/>
      <c r="T60" s="55"/>
    </row>
    <row r="61" spans="1:20" x14ac:dyDescent="0.3">
      <c r="A61" s="53"/>
      <c r="B61" s="53"/>
      <c r="C61" s="53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3"/>
      <c r="S61" s="53"/>
      <c r="T61" s="53"/>
    </row>
    <row r="62" spans="1:20" x14ac:dyDescent="0.3">
      <c r="A62" s="55"/>
      <c r="B62" s="55"/>
      <c r="C62" s="55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5"/>
      <c r="S62" s="55"/>
      <c r="T62" s="55"/>
    </row>
    <row r="63" spans="1:20" x14ac:dyDescent="0.3">
      <c r="A63" s="53"/>
      <c r="B63" s="53"/>
      <c r="C63" s="53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3"/>
      <c r="S63" s="53"/>
      <c r="T63" s="53"/>
    </row>
    <row r="64" spans="1:20" x14ac:dyDescent="0.3">
      <c r="A64" s="55"/>
      <c r="B64" s="55"/>
      <c r="C64" s="55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5"/>
      <c r="S64" s="55"/>
      <c r="T64" s="55"/>
    </row>
    <row r="65" spans="1:20" x14ac:dyDescent="0.3">
      <c r="A65" s="53"/>
      <c r="B65" s="53"/>
      <c r="C65" s="53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3"/>
      <c r="S65" s="53"/>
      <c r="T65" s="53"/>
    </row>
    <row r="66" spans="1:20" x14ac:dyDescent="0.3">
      <c r="A66" s="55"/>
      <c r="B66" s="55"/>
      <c r="C66" s="55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5"/>
      <c r="S66" s="55"/>
      <c r="T66" s="55"/>
    </row>
    <row r="67" spans="1:20" x14ac:dyDescent="0.3">
      <c r="A67" s="53"/>
      <c r="B67" s="53"/>
      <c r="C67" s="53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3"/>
      <c r="S67" s="53"/>
      <c r="T67" s="53"/>
    </row>
    <row r="68" spans="1:20" x14ac:dyDescent="0.3">
      <c r="A68" s="55"/>
      <c r="B68" s="55"/>
      <c r="C68" s="55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5"/>
      <c r="S68" s="55"/>
      <c r="T68" s="55"/>
    </row>
    <row r="69" spans="1:20" x14ac:dyDescent="0.3">
      <c r="A69" s="53"/>
      <c r="B69" s="53"/>
      <c r="C69" s="53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3"/>
      <c r="S69" s="53"/>
      <c r="T69" s="53"/>
    </row>
    <row r="70" spans="1:20" x14ac:dyDescent="0.3">
      <c r="A70" s="55"/>
      <c r="B70" s="55"/>
      <c r="C70" s="55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/>
      <c r="P70" s="56"/>
      <c r="Q70" s="56"/>
      <c r="R70" s="55"/>
      <c r="S70" s="55"/>
      <c r="T70" s="55"/>
    </row>
    <row r="71" spans="1:20" x14ac:dyDescent="0.3">
      <c r="A71" s="53"/>
      <c r="B71" s="53"/>
      <c r="C71" s="53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3"/>
      <c r="S71" s="53"/>
      <c r="T71" s="53"/>
    </row>
    <row r="72" spans="1:20" x14ac:dyDescent="0.3">
      <c r="A72" s="55"/>
      <c r="B72" s="55"/>
      <c r="C72" s="55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/>
      <c r="P72" s="56"/>
      <c r="Q72" s="56"/>
      <c r="R72" s="55"/>
      <c r="S72" s="55"/>
      <c r="T72" s="55"/>
    </row>
    <row r="73" spans="1:20" x14ac:dyDescent="0.3">
      <c r="A73" s="53"/>
      <c r="B73" s="53"/>
      <c r="C73" s="53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3"/>
      <c r="S73" s="53"/>
      <c r="T73" s="53"/>
    </row>
    <row r="74" spans="1:20" x14ac:dyDescent="0.3">
      <c r="A74" s="55"/>
      <c r="B74" s="55"/>
      <c r="C74" s="55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/>
      <c r="P74" s="56"/>
      <c r="Q74" s="56"/>
      <c r="R74" s="55"/>
      <c r="S74" s="55"/>
      <c r="T74" s="55"/>
    </row>
    <row r="75" spans="1:20" x14ac:dyDescent="0.3">
      <c r="A75" s="53"/>
      <c r="B75" s="53"/>
      <c r="C75" s="53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3"/>
      <c r="S75" s="53"/>
      <c r="T75" s="53"/>
    </row>
    <row r="76" spans="1:20" x14ac:dyDescent="0.3">
      <c r="A76" s="55"/>
      <c r="B76" s="55"/>
      <c r="C76" s="55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/>
      <c r="P76" s="56"/>
      <c r="Q76" s="56"/>
      <c r="R76" s="55"/>
      <c r="S76" s="55"/>
      <c r="T76" s="55"/>
    </row>
    <row r="77" spans="1:20" x14ac:dyDescent="0.3">
      <c r="A77" s="53"/>
      <c r="B77" s="53"/>
      <c r="C77" s="53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3"/>
      <c r="S77" s="53"/>
      <c r="T77" s="53"/>
    </row>
    <row r="78" spans="1:20" x14ac:dyDescent="0.3">
      <c r="A78" s="55"/>
      <c r="B78" s="55"/>
      <c r="C78" s="55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5"/>
      <c r="S78" s="55"/>
      <c r="T78" s="55"/>
    </row>
    <row r="79" spans="1:20" x14ac:dyDescent="0.3">
      <c r="A79" s="53"/>
      <c r="B79" s="53"/>
      <c r="C79" s="53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3"/>
      <c r="S79" s="53"/>
      <c r="T79" s="53"/>
    </row>
    <row r="80" spans="1:20" x14ac:dyDescent="0.3">
      <c r="A80" s="55"/>
      <c r="B80" s="55"/>
      <c r="C80" s="55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/>
      <c r="P80" s="56"/>
      <c r="Q80" s="56"/>
      <c r="R80" s="55"/>
      <c r="S80" s="55"/>
      <c r="T80" s="55"/>
    </row>
    <row r="81" spans="1:20" x14ac:dyDescent="0.3">
      <c r="A81" s="53"/>
      <c r="B81" s="53"/>
      <c r="C81" s="53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3"/>
      <c r="S81" s="53"/>
      <c r="T81" s="53"/>
    </row>
    <row r="82" spans="1:20" x14ac:dyDescent="0.3">
      <c r="A82" s="55"/>
      <c r="B82" s="55"/>
      <c r="C82" s="55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/>
      <c r="P82" s="56"/>
      <c r="Q82" s="56"/>
      <c r="R82" s="55"/>
      <c r="S82" s="55"/>
      <c r="T82" s="55"/>
    </row>
    <row r="83" spans="1:20" x14ac:dyDescent="0.3">
      <c r="A83" s="53"/>
      <c r="B83" s="53"/>
      <c r="C83" s="53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3"/>
      <c r="S83" s="53"/>
      <c r="T83" s="53"/>
    </row>
    <row r="84" spans="1:20" x14ac:dyDescent="0.3">
      <c r="A84" s="55"/>
      <c r="B84" s="55"/>
      <c r="C84" s="55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/>
      <c r="P84" s="56"/>
      <c r="Q84" s="56"/>
      <c r="R84" s="55"/>
      <c r="S84" s="55"/>
      <c r="T84" s="55"/>
    </row>
    <row r="85" spans="1:20" x14ac:dyDescent="0.3">
      <c r="A85" s="53"/>
      <c r="B85" s="53"/>
      <c r="C85" s="53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3"/>
      <c r="S85" s="53"/>
      <c r="T85" s="53"/>
    </row>
    <row r="86" spans="1:20" x14ac:dyDescent="0.3">
      <c r="A86" s="55"/>
      <c r="B86" s="55"/>
      <c r="C86" s="55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/>
      <c r="P86" s="56"/>
      <c r="Q86" s="56"/>
      <c r="R86" s="55"/>
      <c r="S86" s="55"/>
      <c r="T86" s="55"/>
    </row>
    <row r="87" spans="1:20" x14ac:dyDescent="0.3">
      <c r="A87" s="53"/>
      <c r="B87" s="53"/>
      <c r="C87" s="53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3"/>
      <c r="S87" s="53"/>
      <c r="T87" s="53"/>
    </row>
    <row r="88" spans="1:20" x14ac:dyDescent="0.3">
      <c r="A88" s="55"/>
      <c r="B88" s="55"/>
      <c r="C88" s="55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/>
      <c r="P88" s="56"/>
      <c r="Q88" s="56"/>
      <c r="R88" s="55"/>
      <c r="S88" s="55"/>
      <c r="T88" s="55"/>
    </row>
    <row r="89" spans="1:20" x14ac:dyDescent="0.3">
      <c r="A89" s="53"/>
      <c r="B89" s="53"/>
      <c r="C89" s="53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3"/>
      <c r="S89" s="53"/>
      <c r="T89" s="53"/>
    </row>
    <row r="90" spans="1:20" x14ac:dyDescent="0.3">
      <c r="A90" s="55"/>
      <c r="B90" s="55"/>
      <c r="C90" s="55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5"/>
      <c r="S90" s="55"/>
      <c r="T90" s="55"/>
    </row>
    <row r="91" spans="1:20" x14ac:dyDescent="0.3">
      <c r="A91" s="53"/>
      <c r="B91" s="53"/>
      <c r="C91" s="53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3"/>
      <c r="S91" s="53"/>
      <c r="T91" s="53"/>
    </row>
    <row r="92" spans="1:20" x14ac:dyDescent="0.3">
      <c r="A92" s="55"/>
      <c r="B92" s="55"/>
      <c r="C92" s="55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/>
      <c r="P92" s="56"/>
      <c r="Q92" s="56"/>
      <c r="R92" s="55"/>
      <c r="S92" s="55"/>
      <c r="T92" s="55"/>
    </row>
    <row r="93" spans="1:20" x14ac:dyDescent="0.3">
      <c r="A93" s="53"/>
      <c r="B93" s="53"/>
      <c r="C93" s="53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3"/>
      <c r="S93" s="53"/>
      <c r="T93" s="53"/>
    </row>
    <row r="94" spans="1:20" x14ac:dyDescent="0.3">
      <c r="A94" s="55"/>
      <c r="B94" s="55"/>
      <c r="C94" s="55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5"/>
      <c r="S94" s="55"/>
      <c r="T94" s="55"/>
    </row>
    <row r="95" spans="1:20" x14ac:dyDescent="0.3">
      <c r="A95" s="53"/>
      <c r="B95" s="53"/>
      <c r="C95" s="53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3"/>
      <c r="S95" s="53"/>
      <c r="T95" s="53"/>
    </row>
    <row r="96" spans="1:20" x14ac:dyDescent="0.3">
      <c r="A96" s="55"/>
      <c r="B96" s="55"/>
      <c r="C96" s="55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/>
      <c r="P96" s="56"/>
      <c r="Q96" s="56"/>
      <c r="R96" s="55"/>
      <c r="S96" s="55"/>
      <c r="T96" s="55"/>
    </row>
    <row r="97" spans="1:20" x14ac:dyDescent="0.3">
      <c r="A97" s="53"/>
      <c r="B97" s="53"/>
      <c r="C97" s="53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3"/>
      <c r="S97" s="53"/>
      <c r="T97" s="53"/>
    </row>
    <row r="98" spans="1:20" x14ac:dyDescent="0.3">
      <c r="A98" s="55"/>
      <c r="B98" s="55"/>
      <c r="C98" s="55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5"/>
      <c r="S98" s="55"/>
      <c r="T98" s="55"/>
    </row>
    <row r="99" spans="1:20" x14ac:dyDescent="0.3">
      <c r="A99" s="53"/>
      <c r="B99" s="53"/>
      <c r="C99" s="53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3"/>
      <c r="S99" s="53"/>
      <c r="T99" s="53"/>
    </row>
    <row r="100" spans="1:20" x14ac:dyDescent="0.3">
      <c r="A100" s="55"/>
      <c r="B100" s="55"/>
      <c r="C100" s="55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/>
      <c r="P100" s="56"/>
      <c r="Q100" s="56"/>
      <c r="R100" s="55"/>
      <c r="S100" s="55"/>
      <c r="T100" s="55"/>
    </row>
    <row r="101" spans="1:20" x14ac:dyDescent="0.3">
      <c r="A101" s="53"/>
      <c r="B101" s="53"/>
      <c r="C101" s="53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3"/>
      <c r="S101" s="53"/>
      <c r="T101" s="53"/>
    </row>
    <row r="102" spans="1:20" x14ac:dyDescent="0.3">
      <c r="A102" s="55"/>
      <c r="B102" s="55"/>
      <c r="C102" s="55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5"/>
      <c r="S102" s="55"/>
      <c r="T102" s="55"/>
    </row>
    <row r="103" spans="1:20" x14ac:dyDescent="0.3">
      <c r="A103" s="53"/>
      <c r="B103" s="53"/>
      <c r="C103" s="53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3"/>
      <c r="S103" s="53"/>
      <c r="T103" s="53"/>
    </row>
    <row r="104" spans="1:20" x14ac:dyDescent="0.3">
      <c r="A104" s="55"/>
      <c r="B104" s="55"/>
      <c r="C104" s="55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/>
      <c r="P104" s="56"/>
      <c r="Q104" s="56"/>
      <c r="R104" s="55"/>
      <c r="S104" s="55"/>
      <c r="T104" s="55"/>
    </row>
    <row r="105" spans="1:20" x14ac:dyDescent="0.3">
      <c r="A105" s="53"/>
      <c r="B105" s="53"/>
      <c r="C105" s="53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3"/>
      <c r="S105" s="53"/>
      <c r="T105" s="53"/>
    </row>
    <row r="106" spans="1:20" x14ac:dyDescent="0.3">
      <c r="A106" s="55"/>
      <c r="B106" s="55"/>
      <c r="C106" s="55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/>
      <c r="P106" s="56"/>
      <c r="Q106" s="56"/>
      <c r="R106" s="55"/>
      <c r="S106" s="55"/>
      <c r="T106" s="55"/>
    </row>
    <row r="107" spans="1:20" x14ac:dyDescent="0.3">
      <c r="A107" s="53"/>
      <c r="B107" s="53"/>
      <c r="C107" s="53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3"/>
      <c r="S107" s="53"/>
      <c r="T107" s="53"/>
    </row>
    <row r="108" spans="1:20" x14ac:dyDescent="0.3">
      <c r="A108" s="55"/>
      <c r="B108" s="55"/>
      <c r="C108" s="55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6"/>
      <c r="R108" s="55"/>
      <c r="S108" s="55"/>
      <c r="T108" s="55"/>
    </row>
    <row r="109" spans="1:20" x14ac:dyDescent="0.3">
      <c r="A109" s="53"/>
      <c r="B109" s="53"/>
      <c r="C109" s="53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3"/>
      <c r="S109" s="53"/>
      <c r="T109" s="53"/>
    </row>
    <row r="110" spans="1:20" x14ac:dyDescent="0.3">
      <c r="A110" s="55"/>
      <c r="B110" s="55"/>
      <c r="C110" s="55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/>
      <c r="P110" s="56"/>
      <c r="Q110" s="56"/>
      <c r="R110" s="55"/>
      <c r="S110" s="55"/>
      <c r="T110" s="55"/>
    </row>
    <row r="111" spans="1:20" x14ac:dyDescent="0.3">
      <c r="A111" s="53"/>
      <c r="B111" s="53"/>
      <c r="C111" s="53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3"/>
      <c r="S111" s="53"/>
      <c r="T111" s="53"/>
    </row>
    <row r="112" spans="1:20" x14ac:dyDescent="0.3">
      <c r="A112" s="55"/>
      <c r="B112" s="55"/>
      <c r="C112" s="55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/>
      <c r="P112" s="56"/>
      <c r="Q112" s="56"/>
      <c r="R112" s="55"/>
      <c r="S112" s="55"/>
      <c r="T112" s="55"/>
    </row>
    <row r="113" spans="1:20" x14ac:dyDescent="0.3">
      <c r="A113" s="53"/>
      <c r="B113" s="53"/>
      <c r="C113" s="53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3"/>
      <c r="S113" s="53"/>
      <c r="T113" s="53"/>
    </row>
    <row r="114" spans="1:20" x14ac:dyDescent="0.3">
      <c r="A114" s="55"/>
      <c r="B114" s="55"/>
      <c r="C114" s="55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/>
      <c r="P114" s="56"/>
      <c r="Q114" s="56"/>
      <c r="R114" s="55"/>
      <c r="S114" s="55"/>
      <c r="T114" s="55"/>
    </row>
    <row r="115" spans="1:20" x14ac:dyDescent="0.3">
      <c r="A115" s="53"/>
      <c r="B115" s="53"/>
      <c r="C115" s="53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3"/>
      <c r="S115" s="53"/>
      <c r="T115" s="53"/>
    </row>
    <row r="116" spans="1:20" x14ac:dyDescent="0.3">
      <c r="A116" s="55"/>
      <c r="B116" s="55"/>
      <c r="C116" s="55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/>
      <c r="P116" s="56"/>
      <c r="Q116" s="56"/>
      <c r="R116" s="55"/>
      <c r="S116" s="55"/>
      <c r="T116" s="55"/>
    </row>
    <row r="117" spans="1:20" x14ac:dyDescent="0.3">
      <c r="A117" s="53"/>
      <c r="B117" s="53"/>
      <c r="C117" s="53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3"/>
      <c r="S117" s="53"/>
      <c r="T117" s="53"/>
    </row>
    <row r="118" spans="1:20" x14ac:dyDescent="0.3">
      <c r="A118" s="55"/>
      <c r="B118" s="55"/>
      <c r="C118" s="55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/>
      <c r="P118" s="56"/>
      <c r="Q118" s="56"/>
      <c r="R118" s="55"/>
      <c r="S118" s="55"/>
      <c r="T118" s="55"/>
    </row>
    <row r="119" spans="1:20" x14ac:dyDescent="0.3">
      <c r="A119" s="53"/>
      <c r="B119" s="53"/>
      <c r="C119" s="53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3"/>
      <c r="S119" s="53"/>
      <c r="T119" s="53"/>
    </row>
    <row r="120" spans="1:20" x14ac:dyDescent="0.3">
      <c r="A120" s="55"/>
      <c r="B120" s="55"/>
      <c r="C120" s="55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/>
      <c r="P120" s="56"/>
      <c r="Q120" s="56"/>
      <c r="R120" s="55"/>
      <c r="S120" s="55"/>
      <c r="T120" s="55"/>
    </row>
    <row r="121" spans="1:20" x14ac:dyDescent="0.3">
      <c r="A121" s="53"/>
      <c r="B121" s="53"/>
      <c r="C121" s="53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3"/>
      <c r="S121" s="53"/>
      <c r="T121" s="53"/>
    </row>
    <row r="122" spans="1:20" x14ac:dyDescent="0.3">
      <c r="A122" s="55"/>
      <c r="B122" s="55"/>
      <c r="C122" s="55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/>
      <c r="P122" s="56"/>
      <c r="Q122" s="56"/>
      <c r="R122" s="55"/>
      <c r="S122" s="55"/>
      <c r="T122" s="55"/>
    </row>
    <row r="123" spans="1:20" x14ac:dyDescent="0.3">
      <c r="A123" s="53"/>
      <c r="B123" s="53"/>
      <c r="C123" s="53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3"/>
      <c r="S123" s="53"/>
      <c r="T123" s="53"/>
    </row>
    <row r="124" spans="1:20" x14ac:dyDescent="0.3">
      <c r="A124" s="55"/>
      <c r="B124" s="55"/>
      <c r="C124" s="55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/>
      <c r="P124" s="56"/>
      <c r="Q124" s="56"/>
      <c r="R124" s="55"/>
      <c r="S124" s="55"/>
      <c r="T124" s="55"/>
    </row>
    <row r="125" spans="1:20" x14ac:dyDescent="0.3">
      <c r="A125" s="53"/>
      <c r="B125" s="53"/>
      <c r="C125" s="53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3"/>
      <c r="S125" s="53"/>
      <c r="T125" s="53"/>
    </row>
    <row r="126" spans="1:20" x14ac:dyDescent="0.3">
      <c r="A126" s="55"/>
      <c r="B126" s="55"/>
      <c r="C126" s="55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5"/>
      <c r="S126" s="55"/>
      <c r="T126" s="55"/>
    </row>
    <row r="127" spans="1:20" x14ac:dyDescent="0.3">
      <c r="A127" s="53"/>
      <c r="B127" s="53"/>
      <c r="C127" s="53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3"/>
      <c r="S127" s="53"/>
      <c r="T127" s="53"/>
    </row>
    <row r="128" spans="1:20" x14ac:dyDescent="0.3">
      <c r="A128" s="55"/>
      <c r="B128" s="55"/>
      <c r="C128" s="55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/>
      <c r="P128" s="56"/>
      <c r="Q128" s="56"/>
      <c r="R128" s="55"/>
      <c r="S128" s="55"/>
      <c r="T128" s="55"/>
    </row>
    <row r="129" spans="1:20" x14ac:dyDescent="0.3">
      <c r="A129" s="53"/>
      <c r="B129" s="53"/>
      <c r="C129" s="53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3"/>
      <c r="S129" s="53"/>
      <c r="T129" s="53"/>
    </row>
    <row r="130" spans="1:20" x14ac:dyDescent="0.3">
      <c r="A130" s="55"/>
      <c r="B130" s="55"/>
      <c r="C130" s="55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/>
      <c r="P130" s="56"/>
      <c r="Q130" s="56"/>
      <c r="R130" s="55"/>
      <c r="S130" s="55"/>
      <c r="T130" s="55"/>
    </row>
    <row r="131" spans="1:20" x14ac:dyDescent="0.3">
      <c r="A131" s="53"/>
      <c r="B131" s="53"/>
      <c r="C131" s="53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3"/>
      <c r="S131" s="53"/>
      <c r="T131" s="53"/>
    </row>
    <row r="132" spans="1:20" x14ac:dyDescent="0.3">
      <c r="A132" s="55"/>
      <c r="B132" s="55"/>
      <c r="C132" s="55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/>
      <c r="P132" s="56"/>
      <c r="Q132" s="56"/>
      <c r="R132" s="55"/>
      <c r="S132" s="55"/>
      <c r="T132" s="55"/>
    </row>
    <row r="133" spans="1:20" x14ac:dyDescent="0.3">
      <c r="A133" s="53"/>
      <c r="B133" s="53"/>
      <c r="C133" s="53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3"/>
      <c r="S133" s="53"/>
      <c r="T133" s="53"/>
    </row>
    <row r="134" spans="1:20" x14ac:dyDescent="0.3">
      <c r="A134" s="55"/>
      <c r="B134" s="55"/>
      <c r="C134" s="55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/>
      <c r="P134" s="56"/>
      <c r="Q134" s="56"/>
      <c r="R134" s="55"/>
      <c r="S134" s="55"/>
      <c r="T134" s="55"/>
    </row>
    <row r="135" spans="1:20" x14ac:dyDescent="0.3">
      <c r="A135" s="53"/>
      <c r="B135" s="53"/>
      <c r="C135" s="53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3"/>
      <c r="S135" s="53"/>
      <c r="T135" s="53"/>
    </row>
    <row r="136" spans="1:20" x14ac:dyDescent="0.3">
      <c r="A136" s="55"/>
      <c r="B136" s="55"/>
      <c r="C136" s="55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/>
      <c r="P136" s="56"/>
      <c r="Q136" s="56"/>
      <c r="R136" s="55"/>
      <c r="S136" s="55"/>
      <c r="T136" s="55"/>
    </row>
    <row r="137" spans="1:20" x14ac:dyDescent="0.3">
      <c r="A137" s="53"/>
      <c r="B137" s="53"/>
      <c r="C137" s="53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3"/>
      <c r="S137" s="53"/>
      <c r="T137" s="53"/>
    </row>
    <row r="138" spans="1:20" x14ac:dyDescent="0.3">
      <c r="A138" s="55"/>
      <c r="B138" s="55"/>
      <c r="C138" s="55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/>
      <c r="P138" s="56"/>
      <c r="Q138" s="56"/>
      <c r="R138" s="55"/>
      <c r="S138" s="55"/>
      <c r="T138" s="55"/>
    </row>
    <row r="139" spans="1:20" x14ac:dyDescent="0.3">
      <c r="A139" s="53"/>
      <c r="B139" s="53"/>
      <c r="C139" s="53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3"/>
      <c r="S139" s="53"/>
      <c r="T139" s="53"/>
    </row>
    <row r="140" spans="1:20" x14ac:dyDescent="0.3">
      <c r="A140" s="55"/>
      <c r="B140" s="55"/>
      <c r="C140" s="55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/>
      <c r="P140" s="56"/>
      <c r="Q140" s="56"/>
      <c r="R140" s="55"/>
      <c r="S140" s="55"/>
      <c r="T140" s="55"/>
    </row>
    <row r="141" spans="1:20" x14ac:dyDescent="0.3">
      <c r="A141" s="53"/>
      <c r="B141" s="53"/>
      <c r="C141" s="53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3"/>
      <c r="S141" s="53"/>
      <c r="T141" s="53"/>
    </row>
    <row r="142" spans="1:20" x14ac:dyDescent="0.3">
      <c r="A142" s="55"/>
      <c r="B142" s="55"/>
      <c r="C142" s="55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/>
      <c r="P142" s="56"/>
      <c r="Q142" s="56"/>
      <c r="R142" s="55"/>
      <c r="S142" s="55"/>
      <c r="T142" s="55"/>
    </row>
    <row r="143" spans="1:20" x14ac:dyDescent="0.3">
      <c r="A143" s="53"/>
      <c r="B143" s="53"/>
      <c r="C143" s="53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3"/>
      <c r="S143" s="53"/>
      <c r="T143" s="53"/>
    </row>
    <row r="144" spans="1:20" x14ac:dyDescent="0.3">
      <c r="A144" s="55"/>
      <c r="B144" s="55"/>
      <c r="C144" s="55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/>
      <c r="P144" s="56"/>
      <c r="Q144" s="56"/>
      <c r="R144" s="55"/>
      <c r="S144" s="55"/>
      <c r="T144" s="55"/>
    </row>
    <row r="145" spans="1:20" x14ac:dyDescent="0.3">
      <c r="A145" s="53"/>
      <c r="B145" s="53"/>
      <c r="C145" s="53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3"/>
      <c r="S145" s="53"/>
      <c r="T145" s="53"/>
    </row>
    <row r="146" spans="1:20" x14ac:dyDescent="0.3">
      <c r="A146" s="55"/>
      <c r="B146" s="55"/>
      <c r="C146" s="55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/>
      <c r="P146" s="56"/>
      <c r="Q146" s="56"/>
      <c r="R146" s="55"/>
      <c r="S146" s="55"/>
      <c r="T146" s="55"/>
    </row>
    <row r="147" spans="1:20" x14ac:dyDescent="0.3">
      <c r="A147" s="53"/>
      <c r="B147" s="53"/>
      <c r="C147" s="53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3"/>
      <c r="S147" s="53"/>
      <c r="T147" s="53"/>
    </row>
    <row r="148" spans="1:20" x14ac:dyDescent="0.3">
      <c r="A148" s="55"/>
      <c r="B148" s="55"/>
      <c r="C148" s="55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/>
      <c r="P148" s="56"/>
      <c r="Q148" s="56"/>
      <c r="R148" s="55"/>
      <c r="S148" s="55"/>
      <c r="T148" s="55"/>
    </row>
    <row r="149" spans="1:20" x14ac:dyDescent="0.3">
      <c r="A149" s="53"/>
      <c r="B149" s="53"/>
      <c r="C149" s="53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3"/>
      <c r="S149" s="53"/>
      <c r="T149" s="53"/>
    </row>
    <row r="150" spans="1:20" x14ac:dyDescent="0.3">
      <c r="A150" s="55"/>
      <c r="B150" s="55"/>
      <c r="C150" s="55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/>
      <c r="P150" s="56"/>
      <c r="Q150" s="56"/>
      <c r="R150" s="55"/>
      <c r="S150" s="55"/>
      <c r="T150" s="55"/>
    </row>
    <row r="151" spans="1:20" x14ac:dyDescent="0.3">
      <c r="A151" s="53"/>
      <c r="B151" s="53"/>
      <c r="C151" s="53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3"/>
      <c r="S151" s="53"/>
      <c r="T151" s="53"/>
    </row>
    <row r="152" spans="1:20" x14ac:dyDescent="0.3">
      <c r="A152" s="55"/>
      <c r="B152" s="55"/>
      <c r="C152" s="55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5"/>
      <c r="S152" s="55"/>
      <c r="T152" s="55"/>
    </row>
    <row r="153" spans="1:20" x14ac:dyDescent="0.3">
      <c r="A153" s="53"/>
      <c r="B153" s="53"/>
      <c r="C153" s="53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3"/>
      <c r="S153" s="53"/>
      <c r="T153" s="53"/>
    </row>
    <row r="154" spans="1:20" x14ac:dyDescent="0.3">
      <c r="A154" s="55"/>
      <c r="B154" s="55"/>
      <c r="C154" s="55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/>
      <c r="P154" s="56"/>
      <c r="Q154" s="56"/>
      <c r="R154" s="55"/>
      <c r="S154" s="55"/>
      <c r="T154" s="55"/>
    </row>
    <row r="155" spans="1:20" x14ac:dyDescent="0.3">
      <c r="A155" s="53"/>
      <c r="B155" s="53"/>
      <c r="C155" s="53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3"/>
      <c r="S155" s="53"/>
      <c r="T155" s="53"/>
    </row>
    <row r="156" spans="1:20" x14ac:dyDescent="0.3">
      <c r="A156" s="55"/>
      <c r="B156" s="55"/>
      <c r="C156" s="55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/>
      <c r="P156" s="56"/>
      <c r="Q156" s="56"/>
      <c r="R156" s="55"/>
      <c r="S156" s="55"/>
      <c r="T156" s="55"/>
    </row>
    <row r="157" spans="1:20" x14ac:dyDescent="0.3">
      <c r="A157" s="53"/>
      <c r="B157" s="53"/>
      <c r="C157" s="53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3"/>
      <c r="S157" s="53"/>
      <c r="T157" s="53"/>
    </row>
    <row r="158" spans="1:20" x14ac:dyDescent="0.3">
      <c r="A158" s="55"/>
      <c r="B158" s="55"/>
      <c r="C158" s="55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/>
      <c r="P158" s="56"/>
      <c r="Q158" s="56"/>
      <c r="R158" s="55"/>
      <c r="S158" s="55"/>
      <c r="T158" s="55"/>
    </row>
    <row r="159" spans="1:20" x14ac:dyDescent="0.3">
      <c r="A159" s="53"/>
      <c r="B159" s="53"/>
      <c r="C159" s="53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3"/>
      <c r="S159" s="53"/>
      <c r="T159" s="53"/>
    </row>
    <row r="160" spans="1:20" x14ac:dyDescent="0.3">
      <c r="A160" s="55"/>
      <c r="B160" s="55"/>
      <c r="C160" s="55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/>
      <c r="P160" s="56"/>
      <c r="Q160" s="56"/>
      <c r="R160" s="55"/>
      <c r="S160" s="55"/>
      <c r="T160" s="55"/>
    </row>
    <row r="161" spans="1:20" x14ac:dyDescent="0.3">
      <c r="A161" s="53"/>
      <c r="B161" s="53"/>
      <c r="C161" s="53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3"/>
      <c r="S161" s="53"/>
      <c r="T161" s="53"/>
    </row>
    <row r="162" spans="1:20" x14ac:dyDescent="0.3">
      <c r="A162" s="55"/>
      <c r="B162" s="55"/>
      <c r="C162" s="55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/>
      <c r="P162" s="56"/>
      <c r="Q162" s="56"/>
      <c r="R162" s="55"/>
      <c r="S162" s="55"/>
      <c r="T162" s="55"/>
    </row>
    <row r="163" spans="1:20" x14ac:dyDescent="0.3">
      <c r="A163" s="53"/>
      <c r="B163" s="53"/>
      <c r="C163" s="53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3"/>
      <c r="S163" s="53"/>
      <c r="T163" s="53"/>
    </row>
    <row r="164" spans="1:20" x14ac:dyDescent="0.3">
      <c r="A164" s="55"/>
      <c r="B164" s="55"/>
      <c r="C164" s="55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/>
      <c r="P164" s="56"/>
      <c r="Q164" s="56"/>
      <c r="R164" s="55"/>
      <c r="S164" s="55"/>
      <c r="T164" s="55"/>
    </row>
    <row r="165" spans="1:20" x14ac:dyDescent="0.3">
      <c r="A165" s="53"/>
      <c r="B165" s="53"/>
      <c r="C165" s="53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3"/>
      <c r="S165" s="53"/>
      <c r="T165" s="53"/>
    </row>
    <row r="166" spans="1:20" x14ac:dyDescent="0.3">
      <c r="A166" s="55"/>
      <c r="B166" s="55"/>
      <c r="C166" s="55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/>
      <c r="P166" s="56"/>
      <c r="Q166" s="56"/>
      <c r="R166" s="55"/>
      <c r="S166" s="55"/>
      <c r="T166" s="55"/>
    </row>
    <row r="167" spans="1:20" x14ac:dyDescent="0.3">
      <c r="A167" s="53"/>
      <c r="B167" s="53"/>
      <c r="C167" s="53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3"/>
      <c r="S167" s="53"/>
      <c r="T167" s="53"/>
    </row>
    <row r="168" spans="1:20" x14ac:dyDescent="0.3">
      <c r="A168" s="55"/>
      <c r="B168" s="55"/>
      <c r="C168" s="55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/>
      <c r="P168" s="56"/>
      <c r="Q168" s="56"/>
      <c r="R168" s="55"/>
      <c r="S168" s="55"/>
      <c r="T168" s="55"/>
    </row>
    <row r="169" spans="1:20" x14ac:dyDescent="0.3">
      <c r="A169" s="53"/>
      <c r="B169" s="53"/>
      <c r="C169" s="53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3"/>
      <c r="S169" s="53"/>
      <c r="T169" s="53"/>
    </row>
    <row r="170" spans="1:20" x14ac:dyDescent="0.3">
      <c r="A170" s="55"/>
      <c r="B170" s="55"/>
      <c r="C170" s="55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/>
      <c r="P170" s="56"/>
      <c r="Q170" s="56"/>
      <c r="R170" s="55"/>
      <c r="S170" s="55"/>
      <c r="T170" s="55"/>
    </row>
    <row r="171" spans="1:20" x14ac:dyDescent="0.3">
      <c r="A171" s="53"/>
      <c r="B171" s="53"/>
      <c r="C171" s="53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3"/>
      <c r="S171" s="53"/>
      <c r="T171" s="53"/>
    </row>
    <row r="172" spans="1:20" x14ac:dyDescent="0.3">
      <c r="A172" s="55"/>
      <c r="B172" s="55"/>
      <c r="C172" s="55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/>
      <c r="P172" s="56"/>
      <c r="Q172" s="56"/>
      <c r="R172" s="55"/>
      <c r="S172" s="55"/>
      <c r="T172" s="55"/>
    </row>
    <row r="173" spans="1:20" x14ac:dyDescent="0.3">
      <c r="A173" s="53"/>
      <c r="B173" s="53"/>
      <c r="C173" s="53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3"/>
      <c r="S173" s="53"/>
      <c r="T173" s="53"/>
    </row>
    <row r="174" spans="1:20" x14ac:dyDescent="0.3">
      <c r="A174" s="55"/>
      <c r="B174" s="55"/>
      <c r="C174" s="55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/>
      <c r="P174" s="56"/>
      <c r="Q174" s="56"/>
      <c r="R174" s="55"/>
      <c r="S174" s="55"/>
      <c r="T174" s="55"/>
    </row>
    <row r="175" spans="1:20" x14ac:dyDescent="0.3">
      <c r="A175" s="53"/>
      <c r="B175" s="53"/>
      <c r="C175" s="53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3"/>
      <c r="S175" s="53"/>
      <c r="T175" s="53"/>
    </row>
    <row r="176" spans="1:20" x14ac:dyDescent="0.3">
      <c r="A176" s="55"/>
      <c r="B176" s="55"/>
      <c r="C176" s="55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/>
      <c r="P176" s="56"/>
      <c r="Q176" s="56"/>
      <c r="R176" s="55"/>
      <c r="S176" s="55"/>
      <c r="T176" s="55"/>
    </row>
    <row r="177" spans="1:20" x14ac:dyDescent="0.3">
      <c r="A177" s="53"/>
      <c r="B177" s="53"/>
      <c r="C177" s="53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3"/>
      <c r="S177" s="53"/>
      <c r="T177" s="53"/>
    </row>
    <row r="178" spans="1:20" x14ac:dyDescent="0.3">
      <c r="A178" s="55"/>
      <c r="B178" s="55"/>
      <c r="C178" s="55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/>
      <c r="P178" s="56"/>
      <c r="Q178" s="56"/>
      <c r="R178" s="55"/>
      <c r="S178" s="55"/>
      <c r="T178" s="55"/>
    </row>
    <row r="179" spans="1:20" x14ac:dyDescent="0.3">
      <c r="A179" s="53"/>
      <c r="B179" s="53"/>
      <c r="C179" s="53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3"/>
      <c r="S179" s="53"/>
      <c r="T179" s="53"/>
    </row>
    <row r="180" spans="1:20" x14ac:dyDescent="0.3">
      <c r="A180" s="55"/>
      <c r="B180" s="55"/>
      <c r="C180" s="55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/>
      <c r="P180" s="56"/>
      <c r="Q180" s="56"/>
      <c r="R180" s="55"/>
      <c r="S180" s="55"/>
      <c r="T180" s="55"/>
    </row>
    <row r="181" spans="1:20" x14ac:dyDescent="0.3">
      <c r="A181" s="53"/>
      <c r="B181" s="53"/>
      <c r="C181" s="53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3"/>
      <c r="S181" s="53"/>
      <c r="T181" s="53"/>
    </row>
    <row r="182" spans="1:20" x14ac:dyDescent="0.3">
      <c r="A182" s="55"/>
      <c r="B182" s="55"/>
      <c r="C182" s="55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/>
      <c r="P182" s="56"/>
      <c r="Q182" s="56"/>
      <c r="R182" s="55"/>
      <c r="S182" s="55"/>
      <c r="T182" s="55"/>
    </row>
    <row r="183" spans="1:20" x14ac:dyDescent="0.3">
      <c r="A183" s="53"/>
      <c r="B183" s="53"/>
      <c r="C183" s="53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3"/>
      <c r="S183" s="53"/>
      <c r="T183" s="53"/>
    </row>
    <row r="184" spans="1:20" x14ac:dyDescent="0.3">
      <c r="A184" s="55"/>
      <c r="B184" s="55"/>
      <c r="C184" s="55"/>
      <c r="D184" s="56"/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/>
      <c r="P184" s="56"/>
      <c r="Q184" s="56"/>
      <c r="R184" s="55"/>
      <c r="S184" s="55"/>
      <c r="T184" s="55"/>
    </row>
    <row r="185" spans="1:20" x14ac:dyDescent="0.3">
      <c r="A185" s="53"/>
      <c r="B185" s="53"/>
      <c r="C185" s="53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3"/>
      <c r="S185" s="53"/>
      <c r="T185" s="53"/>
    </row>
    <row r="186" spans="1:20" x14ac:dyDescent="0.3">
      <c r="A186" s="55"/>
      <c r="B186" s="55"/>
      <c r="C186" s="55"/>
      <c r="D186" s="56"/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/>
      <c r="P186" s="56"/>
      <c r="Q186" s="56"/>
      <c r="R186" s="55"/>
      <c r="S186" s="55"/>
      <c r="T186" s="55"/>
    </row>
    <row r="187" spans="1:20" x14ac:dyDescent="0.3">
      <c r="A187" s="53"/>
      <c r="B187" s="53"/>
      <c r="C187" s="53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3"/>
      <c r="S187" s="53"/>
      <c r="T187" s="53"/>
    </row>
    <row r="188" spans="1:20" x14ac:dyDescent="0.3">
      <c r="A188" s="55"/>
      <c r="B188" s="55"/>
      <c r="C188" s="55"/>
      <c r="D188" s="56"/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/>
      <c r="P188" s="56"/>
      <c r="Q188" s="56"/>
      <c r="R188" s="55"/>
      <c r="S188" s="55"/>
      <c r="T188" s="55"/>
    </row>
    <row r="189" spans="1:20" x14ac:dyDescent="0.3">
      <c r="A189" s="53"/>
      <c r="B189" s="53"/>
      <c r="C189" s="53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3"/>
      <c r="S189" s="53"/>
      <c r="T189" s="53"/>
    </row>
    <row r="190" spans="1:20" x14ac:dyDescent="0.3">
      <c r="A190" s="55"/>
      <c r="B190" s="55"/>
      <c r="C190" s="55"/>
      <c r="D190" s="56"/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/>
      <c r="P190" s="56"/>
      <c r="Q190" s="56"/>
      <c r="R190" s="55"/>
      <c r="S190" s="55"/>
      <c r="T190" s="55"/>
    </row>
    <row r="191" spans="1:20" x14ac:dyDescent="0.3">
      <c r="A191" s="53"/>
      <c r="B191" s="53"/>
      <c r="C191" s="53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3"/>
      <c r="S191" s="53"/>
      <c r="T191" s="53"/>
    </row>
    <row r="192" spans="1:20" x14ac:dyDescent="0.3">
      <c r="A192" s="55"/>
      <c r="B192" s="55"/>
      <c r="C192" s="55"/>
      <c r="D192" s="56"/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/>
      <c r="P192" s="56"/>
      <c r="Q192" s="56"/>
      <c r="R192" s="55"/>
      <c r="S192" s="55"/>
      <c r="T192" s="55"/>
    </row>
    <row r="193" spans="1:20" x14ac:dyDescent="0.3">
      <c r="A193" s="53"/>
      <c r="B193" s="53"/>
      <c r="C193" s="53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3"/>
      <c r="S193" s="53"/>
      <c r="T193" s="53"/>
    </row>
    <row r="194" spans="1:20" x14ac:dyDescent="0.3">
      <c r="A194" s="55"/>
      <c r="B194" s="55"/>
      <c r="C194" s="55"/>
      <c r="D194" s="56"/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/>
      <c r="P194" s="56"/>
      <c r="Q194" s="56"/>
      <c r="R194" s="55"/>
      <c r="S194" s="55"/>
      <c r="T194" s="55"/>
    </row>
    <row r="195" spans="1:20" x14ac:dyDescent="0.3">
      <c r="A195" s="53"/>
      <c r="B195" s="53"/>
      <c r="C195" s="53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3"/>
      <c r="S195" s="53"/>
      <c r="T195" s="53"/>
    </row>
    <row r="196" spans="1:20" x14ac:dyDescent="0.3">
      <c r="A196" s="55"/>
      <c r="B196" s="55"/>
      <c r="C196" s="55"/>
      <c r="D196" s="56"/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/>
      <c r="P196" s="56"/>
      <c r="Q196" s="56"/>
      <c r="R196" s="55"/>
      <c r="S196" s="55"/>
      <c r="T196" s="55"/>
    </row>
    <row r="197" spans="1:20" x14ac:dyDescent="0.3">
      <c r="A197" s="53"/>
      <c r="B197" s="53"/>
      <c r="C197" s="53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3"/>
      <c r="S197" s="53"/>
      <c r="T197" s="53"/>
    </row>
    <row r="198" spans="1:20" x14ac:dyDescent="0.3">
      <c r="A198" s="55"/>
      <c r="B198" s="55"/>
      <c r="C198" s="55"/>
      <c r="D198" s="56"/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/>
      <c r="P198" s="56"/>
      <c r="Q198" s="56"/>
      <c r="R198" s="55"/>
      <c r="S198" s="55"/>
      <c r="T198" s="55"/>
    </row>
    <row r="199" spans="1:20" x14ac:dyDescent="0.3">
      <c r="A199" s="53"/>
      <c r="B199" s="53"/>
      <c r="C199" s="53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3"/>
      <c r="S199" s="53"/>
      <c r="T199" s="53"/>
    </row>
    <row r="200" spans="1:20" x14ac:dyDescent="0.3">
      <c r="A200" s="55"/>
      <c r="B200" s="55"/>
      <c r="C200" s="55"/>
      <c r="D200" s="56"/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/>
      <c r="P200" s="56"/>
      <c r="Q200" s="56"/>
      <c r="R200" s="55"/>
      <c r="S200" s="55"/>
      <c r="T200" s="55"/>
    </row>
    <row r="201" spans="1:20" x14ac:dyDescent="0.3">
      <c r="A201" s="53"/>
      <c r="B201" s="53"/>
      <c r="C201" s="53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3"/>
      <c r="S201" s="53"/>
      <c r="T201" s="53"/>
    </row>
    <row r="202" spans="1:20" x14ac:dyDescent="0.3">
      <c r="A202" s="55"/>
      <c r="B202" s="55"/>
      <c r="C202" s="55"/>
      <c r="D202" s="56"/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/>
      <c r="P202" s="56"/>
      <c r="Q202" s="56"/>
      <c r="R202" s="55"/>
      <c r="S202" s="55"/>
      <c r="T202" s="55"/>
    </row>
    <row r="203" spans="1:20" x14ac:dyDescent="0.3">
      <c r="A203" s="53"/>
      <c r="B203" s="53"/>
      <c r="C203" s="53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3"/>
      <c r="S203" s="53"/>
      <c r="T203" s="53"/>
    </row>
    <row r="204" spans="1:20" x14ac:dyDescent="0.3">
      <c r="A204" s="55"/>
      <c r="B204" s="55"/>
      <c r="C204" s="55"/>
      <c r="D204" s="56"/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/>
      <c r="P204" s="56"/>
      <c r="Q204" s="56"/>
      <c r="R204" s="55"/>
      <c r="S204" s="55"/>
      <c r="T204" s="55"/>
    </row>
    <row r="205" spans="1:20" x14ac:dyDescent="0.3">
      <c r="A205" s="53"/>
      <c r="B205" s="53"/>
      <c r="C205" s="53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3"/>
      <c r="S205" s="53"/>
      <c r="T205" s="53"/>
    </row>
    <row r="206" spans="1:20" x14ac:dyDescent="0.3">
      <c r="A206" s="55"/>
      <c r="B206" s="55"/>
      <c r="C206" s="55"/>
      <c r="D206" s="56"/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/>
      <c r="P206" s="56"/>
      <c r="Q206" s="56"/>
      <c r="R206" s="55"/>
      <c r="S206" s="55"/>
      <c r="T206" s="55"/>
    </row>
    <row r="207" spans="1:20" x14ac:dyDescent="0.3">
      <c r="A207" s="53"/>
      <c r="B207" s="53"/>
      <c r="C207" s="53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3"/>
      <c r="S207" s="53"/>
      <c r="T207" s="53"/>
    </row>
    <row r="208" spans="1:20" x14ac:dyDescent="0.3">
      <c r="A208" s="55"/>
      <c r="B208" s="55"/>
      <c r="C208" s="55"/>
      <c r="D208" s="56"/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/>
      <c r="P208" s="56"/>
      <c r="Q208" s="56"/>
      <c r="R208" s="55"/>
      <c r="S208" s="55"/>
      <c r="T208" s="55"/>
    </row>
    <row r="209" spans="1:20" x14ac:dyDescent="0.3">
      <c r="A209" s="53"/>
      <c r="B209" s="53"/>
      <c r="C209" s="53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3"/>
      <c r="S209" s="53"/>
      <c r="T209" s="53"/>
    </row>
    <row r="210" spans="1:20" x14ac:dyDescent="0.3">
      <c r="A210" s="55"/>
      <c r="B210" s="55"/>
      <c r="C210" s="55"/>
      <c r="D210" s="56"/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/>
      <c r="P210" s="56"/>
      <c r="Q210" s="56"/>
      <c r="R210" s="55"/>
      <c r="S210" s="55"/>
      <c r="T210" s="55"/>
    </row>
    <row r="211" spans="1:20" x14ac:dyDescent="0.3">
      <c r="A211" s="53"/>
      <c r="B211" s="53"/>
      <c r="C211" s="53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3"/>
      <c r="S211" s="53"/>
      <c r="T211" s="53"/>
    </row>
    <row r="212" spans="1:20" x14ac:dyDescent="0.3">
      <c r="A212" s="55"/>
      <c r="B212" s="55"/>
      <c r="C212" s="55"/>
      <c r="D212" s="56"/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/>
      <c r="P212" s="56"/>
      <c r="Q212" s="56"/>
      <c r="R212" s="55"/>
      <c r="S212" s="55"/>
      <c r="T212" s="55"/>
    </row>
    <row r="213" spans="1:20" x14ac:dyDescent="0.3">
      <c r="A213" s="53"/>
      <c r="B213" s="53"/>
      <c r="C213" s="53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3"/>
      <c r="S213" s="53"/>
      <c r="T213" s="53"/>
    </row>
  </sheetData>
  <sheetProtection algorithmName="SHA-512" hashValue="kI+MtwJRd+AGDkFUplbJ1iNS+OfAs5mtQ+6dqv9adJjD6oVGMdZMliWbvurrwH8PegYBEE00DQVJK4O938jOWw==" saltValue="WnMbOoFSWIy1RiJ4fD1c4g==" spinCount="100000" sheet="1" insertHyperlinks="0"/>
  <protectedRanges>
    <protectedRange sqref="R8:T208" name="links"/>
    <protectedRange sqref="R2:T3" name="sharepoint"/>
  </protectedRanges>
  <mergeCells count="20">
    <mergeCell ref="T4:T7"/>
    <mergeCell ref="D5:F5"/>
    <mergeCell ref="G5:J5"/>
    <mergeCell ref="K5:M5"/>
    <mergeCell ref="N5:Q5"/>
    <mergeCell ref="K4:M4"/>
    <mergeCell ref="N4:Q4"/>
    <mergeCell ref="R4:R7"/>
    <mergeCell ref="S4:S7"/>
    <mergeCell ref="A4:A7"/>
    <mergeCell ref="B4:B7"/>
    <mergeCell ref="C4:C7"/>
    <mergeCell ref="D4:F4"/>
    <mergeCell ref="G4:J4"/>
    <mergeCell ref="J1:Q1"/>
    <mergeCell ref="R1:T1"/>
    <mergeCell ref="A2:A3"/>
    <mergeCell ref="B2:I3"/>
    <mergeCell ref="R2:T3"/>
    <mergeCell ref="D1:I1"/>
  </mergeCells>
  <conditionalFormatting sqref="D7:E7 N7:O7 G7:I7">
    <cfRule type="expression" dxfId="42" priority="13">
      <formula>AND(D$7&lt;&gt;"NA",D$7&gt;0)</formula>
    </cfRule>
  </conditionalFormatting>
  <conditionalFormatting sqref="N5:Q5 D5:K5">
    <cfRule type="cellIs" dxfId="41" priority="12" operator="equal">
      <formula>"Looks Perfect!"</formula>
    </cfRule>
  </conditionalFormatting>
  <conditionalFormatting sqref="N5:Q5 D5:J5">
    <cfRule type="cellIs" dxfId="40" priority="11" operator="equal">
      <formula>"Remediation required"</formula>
    </cfRule>
  </conditionalFormatting>
  <conditionalFormatting sqref="D5:J5 N5:Q5">
    <cfRule type="cellIs" dxfId="39" priority="2" operator="equal">
      <formula>"Exception raised"</formula>
    </cfRule>
    <cfRule type="cellIs" dxfId="38" priority="10" operator="equal">
      <formula>"Ok to proceed"</formula>
    </cfRule>
  </conditionalFormatting>
  <conditionalFormatting sqref="K5:M5">
    <cfRule type="cellIs" dxfId="37" priority="9" operator="equal">
      <formula>"Legal team will advice!"</formula>
    </cfRule>
  </conditionalFormatting>
  <conditionalFormatting sqref="J3:Q3">
    <cfRule type="cellIs" dxfId="36" priority="4" stopIfTrue="1" operator="equal">
      <formula>"E"</formula>
    </cfRule>
    <cfRule type="cellIs" dxfId="35" priority="5" stopIfTrue="1" operator="equal">
      <formula>"D"</formula>
    </cfRule>
    <cfRule type="cellIs" dxfId="34" priority="6" stopIfTrue="1" operator="equal">
      <formula>"C"</formula>
    </cfRule>
    <cfRule type="cellIs" dxfId="33" priority="7" stopIfTrue="1" operator="equal">
      <formula>"B"</formula>
    </cfRule>
    <cfRule type="cellIs" dxfId="32" priority="8" stopIfTrue="1" operator="equal">
      <formula>"A"</formula>
    </cfRule>
  </conditionalFormatting>
  <conditionalFormatting sqref="D5:Q5">
    <cfRule type="cellIs" dxfId="31" priority="1" operator="equal">
      <formula>"Not Supported"</formula>
    </cfRule>
  </conditionalFormatting>
  <hyperlinks>
    <hyperlink ref="R9" r:id="rId1" xr:uid="{6647E19B-AE6B-4B6F-876E-A66623795D4C}"/>
    <hyperlink ref="S9" r:id="rId2" xr:uid="{F3293BAD-54AC-44FC-B8F0-0E4E5E9EA15A}"/>
    <hyperlink ref="T8" r:id="rId3" xr:uid="{401C5919-6425-43EB-AADB-91FBC626372D}"/>
    <hyperlink ref="T9" r:id="rId4" xr:uid="{92AEC8F4-0EC8-4DC1-A31E-B38D68948072}"/>
    <hyperlink ref="T10" r:id="rId5" xr:uid="{13DA8E96-0995-4F04-BFB1-3BDB695BD1DE}"/>
    <hyperlink ref="T11" r:id="rId6" xr:uid="{A3D1A588-677E-46A7-9676-148BB7A01D2B}"/>
    <hyperlink ref="T12" r:id="rId7" xr:uid="{DFF3C48E-CF64-4C5A-A801-85C93401F062}"/>
    <hyperlink ref="T13" r:id="rId8" xr:uid="{B9291F9A-1528-43BD-BD3D-C25184BE974E}"/>
    <hyperlink ref="T14" r:id="rId9" xr:uid="{F5D343BE-5DE4-4F12-861E-47E217817E5F}"/>
    <hyperlink ref="T20" r:id="rId10" xr:uid="{BCCCB94A-858A-47DB-AE26-C366A5367A3E}"/>
    <hyperlink ref="T19" r:id="rId11" xr:uid="{F6C7CBB5-FA00-4511-80D2-59FE46CA0ABB}"/>
    <hyperlink ref="T18" r:id="rId12" xr:uid="{855E99FE-1B5F-455B-B61D-83CC620FB9BC}"/>
    <hyperlink ref="T17" r:id="rId13" xr:uid="{F533C7DC-1350-403C-A074-F549C9FA4608}"/>
    <hyperlink ref="T16" r:id="rId14" xr:uid="{9AC07B1A-2A33-4DA1-9F4F-4774D8C4A80A}"/>
    <hyperlink ref="T15" r:id="rId15" xr:uid="{9D5A0456-C0D1-471A-89A8-3C47F8EE6786}"/>
    <hyperlink ref="R8" r:id="rId16" xr:uid="{ED7B00F5-37A2-458B-B8C1-44DD426AB1EB}"/>
    <hyperlink ref="S8" r:id="rId17" xr:uid="{C4279972-3643-4DAE-8640-E0537906893F}"/>
    <hyperlink ref="R10" r:id="rId18" xr:uid="{9B78F5B1-4B92-46B5-A9AD-0BE5D53BFA0F}"/>
    <hyperlink ref="S10" r:id="rId19" xr:uid="{D6F85810-5FCB-4EA9-8085-916A1F037565}"/>
    <hyperlink ref="S11" r:id="rId20" xr:uid="{C6B308B7-8AE3-40C3-8684-642B8DA6ECB8}"/>
    <hyperlink ref="R11" r:id="rId21" xr:uid="{F92AFEBB-DCB0-4A31-9916-7B1E6CF29640}"/>
    <hyperlink ref="R12" r:id="rId22" xr:uid="{835104F7-77D9-4099-9E85-427FBA0F9D54}"/>
    <hyperlink ref="S12" r:id="rId23" xr:uid="{EE7071D6-7936-4F4F-9EA4-3282F8310660}"/>
    <hyperlink ref="R13" r:id="rId24" xr:uid="{7C56CB63-14B2-489C-843B-B9B04F5BF3EE}"/>
    <hyperlink ref="S13" r:id="rId25" xr:uid="{0B6A4355-DD2C-4F19-88E1-B9BA3CC84E7F}"/>
    <hyperlink ref="R14" r:id="rId26" xr:uid="{9B7DD5BE-6AC1-478E-8784-1AE132B5B766}"/>
    <hyperlink ref="R15" r:id="rId27" xr:uid="{88551338-9A5A-4F01-96E6-E276CE2F7196}"/>
    <hyperlink ref="R16" r:id="rId28" xr:uid="{8061C7FF-119C-4820-A4F5-1890CDC51B6E}"/>
    <hyperlink ref="S14" r:id="rId29" xr:uid="{B4678785-5991-4297-B9F2-4763C7A5364E}"/>
    <hyperlink ref="S15" r:id="rId30" xr:uid="{B3173083-7560-4E85-B818-BE7A550E1A4C}"/>
    <hyperlink ref="S16" r:id="rId31" xr:uid="{9BD3B01C-A073-4ECA-A970-AC7D44916931}"/>
    <hyperlink ref="S17" r:id="rId32" xr:uid="{F189DEB8-A4CF-4C9E-8839-D5DBBFC564BF}"/>
    <hyperlink ref="R18" r:id="rId33" xr:uid="{1D703F00-DEB8-42B3-AE8E-FB849B98F5DD}"/>
    <hyperlink ref="R17" r:id="rId34" xr:uid="{91FED56B-A948-4845-A5F3-1D1722FF7895}"/>
    <hyperlink ref="R19" r:id="rId35" xr:uid="{4BE03B96-3852-4ADD-94A7-C6940B571AE8}"/>
    <hyperlink ref="R20" r:id="rId36" xr:uid="{9C0F42C9-178E-4C2C-AF9E-9473F4A87331}"/>
    <hyperlink ref="S18" r:id="rId37" xr:uid="{5D572A78-5997-44DF-A8A2-593C343DF946}"/>
    <hyperlink ref="S19" r:id="rId38" xr:uid="{8865D775-7E69-41D5-9453-4F61A4318E4F}"/>
    <hyperlink ref="S20" r:id="rId39" xr:uid="{C624DE5A-1887-4026-ADE2-5748A5B0B350}"/>
  </hyperlinks>
  <pageMargins left="0.7" right="0.7" top="0.75" bottom="0.75" header="0.3" footer="0.3"/>
  <pageSetup orientation="portrait" horizontalDpi="300" verticalDpi="300" r:id="rId4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75F13B-3101-4887-BB80-37FA3A4829E1}">
  <sheetPr codeName="Sheet8">
    <tabColor theme="9" tint="0.79998168889431442"/>
  </sheetPr>
  <dimension ref="A2:AK19"/>
  <sheetViews>
    <sheetView tabSelected="1" topLeftCell="A6" zoomScale="90" zoomScaleNormal="90" workbookViewId="0">
      <selection activeCell="L16" sqref="L16"/>
    </sheetView>
  </sheetViews>
  <sheetFormatPr defaultRowHeight="14.5" x14ac:dyDescent="0.35"/>
  <cols>
    <col min="31" max="31" width="9.81640625" customWidth="1"/>
  </cols>
  <sheetData>
    <row r="2" spans="1:37" s="17" customFormat="1" ht="87" x14ac:dyDescent="0.35">
      <c r="B2" s="74" t="s">
        <v>86</v>
      </c>
      <c r="C2" s="74" t="s">
        <v>13</v>
      </c>
      <c r="D2" s="74" t="s">
        <v>87</v>
      </c>
      <c r="E2" s="74" t="s">
        <v>10</v>
      </c>
      <c r="F2" s="74" t="s">
        <v>63</v>
      </c>
      <c r="G2" s="74" t="s">
        <v>88</v>
      </c>
      <c r="H2" s="74" t="s">
        <v>89</v>
      </c>
      <c r="I2" s="74" t="s">
        <v>90</v>
      </c>
      <c r="J2" s="74" t="s">
        <v>65</v>
      </c>
      <c r="K2" s="74" t="s">
        <v>66</v>
      </c>
      <c r="L2" s="74" t="s">
        <v>67</v>
      </c>
      <c r="M2" s="74" t="s">
        <v>91</v>
      </c>
      <c r="N2" s="74" t="s">
        <v>92</v>
      </c>
      <c r="O2" s="74" t="s">
        <v>93</v>
      </c>
      <c r="P2" s="74" t="s">
        <v>25</v>
      </c>
      <c r="Q2" s="74" t="s">
        <v>27</v>
      </c>
      <c r="R2" s="74" t="s">
        <v>107</v>
      </c>
      <c r="S2" s="74" t="s">
        <v>94</v>
      </c>
      <c r="T2" s="74" t="s">
        <v>95</v>
      </c>
      <c r="U2" s="74" t="s">
        <v>96</v>
      </c>
      <c r="V2" s="74" t="s">
        <v>97</v>
      </c>
      <c r="W2" s="74" t="s">
        <v>98</v>
      </c>
      <c r="X2" s="17" t="s">
        <v>108</v>
      </c>
      <c r="Y2" s="17" t="s">
        <v>109</v>
      </c>
      <c r="Z2" s="17" t="s">
        <v>110</v>
      </c>
      <c r="AA2" s="17" t="s">
        <v>111</v>
      </c>
      <c r="AB2" s="17" t="s">
        <v>112</v>
      </c>
      <c r="AC2" s="17" t="s">
        <v>113</v>
      </c>
      <c r="AD2" s="17" t="s">
        <v>114</v>
      </c>
      <c r="AE2" s="17" t="s">
        <v>115</v>
      </c>
      <c r="AF2" s="17" t="s">
        <v>116</v>
      </c>
      <c r="AG2" s="17" t="s">
        <v>117</v>
      </c>
      <c r="AH2" s="17" t="s">
        <v>118</v>
      </c>
      <c r="AI2" s="17" t="s">
        <v>119</v>
      </c>
      <c r="AJ2" s="17" t="s">
        <v>120</v>
      </c>
      <c r="AK2" s="17" t="s">
        <v>121</v>
      </c>
    </row>
    <row r="3" spans="1:37" x14ac:dyDescent="0.35">
      <c r="A3" s="13" t="s">
        <v>5</v>
      </c>
      <c r="B3" t="s">
        <v>203</v>
      </c>
      <c r="C3" t="s">
        <v>204</v>
      </c>
      <c r="D3" t="s">
        <v>202</v>
      </c>
      <c r="E3" t="s">
        <v>146</v>
      </c>
      <c r="F3">
        <v>2.1</v>
      </c>
      <c r="G3" t="s">
        <v>205</v>
      </c>
      <c r="H3" s="75">
        <v>45256</v>
      </c>
      <c r="I3">
        <v>13</v>
      </c>
      <c r="J3" t="s">
        <v>133</v>
      </c>
      <c r="K3" t="s">
        <v>133</v>
      </c>
      <c r="L3" t="s">
        <v>133</v>
      </c>
      <c r="M3" t="s">
        <v>131</v>
      </c>
      <c r="N3" t="s">
        <v>129</v>
      </c>
      <c r="O3" t="s">
        <v>137</v>
      </c>
      <c r="P3" t="s">
        <v>133</v>
      </c>
      <c r="Q3" t="s">
        <v>129</v>
      </c>
      <c r="R3" t="s">
        <v>196</v>
      </c>
      <c r="S3" t="s">
        <v>206</v>
      </c>
      <c r="T3" t="s">
        <v>206</v>
      </c>
      <c r="U3" t="s">
        <v>196</v>
      </c>
      <c r="V3" t="s">
        <v>206</v>
      </c>
      <c r="W3" t="s">
        <v>206</v>
      </c>
      <c r="Y3">
        <v>31</v>
      </c>
      <c r="AB3">
        <v>2</v>
      </c>
      <c r="AC3">
        <v>14</v>
      </c>
      <c r="AD3">
        <v>25</v>
      </c>
      <c r="AH3">
        <v>1</v>
      </c>
      <c r="AI3">
        <v>2</v>
      </c>
    </row>
    <row r="6" spans="1:37" ht="43.5" x14ac:dyDescent="0.35">
      <c r="B6" s="74" t="s">
        <v>86</v>
      </c>
      <c r="C6" s="74" t="s">
        <v>13</v>
      </c>
      <c r="D6" s="74" t="s">
        <v>87</v>
      </c>
      <c r="E6" s="74" t="s">
        <v>63</v>
      </c>
      <c r="F6" s="74" t="s">
        <v>88</v>
      </c>
      <c r="G6" s="74" t="s">
        <v>89</v>
      </c>
      <c r="H6" s="76" t="s">
        <v>34</v>
      </c>
      <c r="I6" s="76" t="s">
        <v>35</v>
      </c>
      <c r="J6" s="89" t="s">
        <v>36</v>
      </c>
      <c r="K6" s="76" t="s">
        <v>37</v>
      </c>
      <c r="L6" s="76" t="s">
        <v>38</v>
      </c>
      <c r="M6" s="76" t="s">
        <v>39</v>
      </c>
      <c r="N6" s="76" t="s">
        <v>40</v>
      </c>
      <c r="O6" s="76" t="s">
        <v>41</v>
      </c>
      <c r="P6" s="76" t="s">
        <v>42</v>
      </c>
      <c r="Q6" s="76" t="s">
        <v>43</v>
      </c>
      <c r="R6" s="76" t="s">
        <v>44</v>
      </c>
      <c r="S6" s="77" t="s">
        <v>45</v>
      </c>
      <c r="T6" s="77" t="s">
        <v>46</v>
      </c>
      <c r="U6" s="77" t="s">
        <v>47</v>
      </c>
      <c r="V6" s="97" t="s">
        <v>48</v>
      </c>
      <c r="W6" s="78" t="s">
        <v>49</v>
      </c>
      <c r="X6" s="78" t="s">
        <v>50</v>
      </c>
      <c r="Y6" s="78" t="s">
        <v>51</v>
      </c>
      <c r="Z6" s="79" t="s">
        <v>52</v>
      </c>
      <c r="AA6" s="79" t="s">
        <v>53</v>
      </c>
      <c r="AB6" s="79" t="s">
        <v>54</v>
      </c>
      <c r="AC6" s="80" t="s">
        <v>55</v>
      </c>
      <c r="AD6" s="80" t="s">
        <v>56</v>
      </c>
      <c r="AE6" s="80" t="s">
        <v>57</v>
      </c>
      <c r="AF6" s="80" t="s">
        <v>58</v>
      </c>
      <c r="AG6" s="76" t="s">
        <v>29</v>
      </c>
    </row>
    <row r="7" spans="1:37" x14ac:dyDescent="0.35">
      <c r="B7" t="s">
        <v>203</v>
      </c>
      <c r="C7" t="s">
        <v>204</v>
      </c>
      <c r="D7" t="s">
        <v>202</v>
      </c>
      <c r="E7">
        <v>2.1</v>
      </c>
      <c r="F7" t="s">
        <v>205</v>
      </c>
      <c r="G7" s="75">
        <v>45256</v>
      </c>
      <c r="H7" t="s">
        <v>207</v>
      </c>
      <c r="I7" t="s">
        <v>215</v>
      </c>
      <c r="J7" t="s">
        <v>206</v>
      </c>
      <c r="K7" t="s">
        <v>139</v>
      </c>
      <c r="L7" t="s">
        <v>196</v>
      </c>
      <c r="M7">
        <v>25673</v>
      </c>
      <c r="N7" t="s">
        <v>207</v>
      </c>
      <c r="O7" t="s">
        <v>133</v>
      </c>
      <c r="P7" t="s">
        <v>129</v>
      </c>
      <c r="Q7">
        <v>9.7000000000000003E-2</v>
      </c>
      <c r="R7">
        <v>0.12</v>
      </c>
      <c r="S7">
        <v>0</v>
      </c>
      <c r="T7">
        <v>20</v>
      </c>
      <c r="U7">
        <v>0</v>
      </c>
      <c r="V7">
        <v>1</v>
      </c>
      <c r="W7">
        <v>13</v>
      </c>
      <c r="X7">
        <v>12</v>
      </c>
      <c r="Y7">
        <v>0</v>
      </c>
      <c r="Z7">
        <v>0</v>
      </c>
      <c r="AA7">
        <v>1</v>
      </c>
      <c r="AB7">
        <v>0</v>
      </c>
      <c r="AC7">
        <v>0</v>
      </c>
      <c r="AD7">
        <v>0</v>
      </c>
      <c r="AE7">
        <v>23</v>
      </c>
      <c r="AF7">
        <v>17</v>
      </c>
    </row>
    <row r="8" spans="1:37" x14ac:dyDescent="0.35">
      <c r="B8" t="s">
        <v>203</v>
      </c>
      <c r="C8" t="s">
        <v>204</v>
      </c>
      <c r="D8" t="s">
        <v>202</v>
      </c>
      <c r="E8">
        <v>2.1</v>
      </c>
      <c r="F8" t="s">
        <v>205</v>
      </c>
      <c r="G8" s="75">
        <v>45256</v>
      </c>
      <c r="H8" t="s">
        <v>208</v>
      </c>
      <c r="I8" t="s">
        <v>214</v>
      </c>
      <c r="J8" t="s">
        <v>206</v>
      </c>
      <c r="K8" t="s">
        <v>206</v>
      </c>
      <c r="L8">
        <v>0</v>
      </c>
      <c r="M8">
        <v>7039</v>
      </c>
      <c r="N8" t="s">
        <v>208</v>
      </c>
      <c r="O8" t="s">
        <v>129</v>
      </c>
      <c r="P8" t="s">
        <v>129</v>
      </c>
      <c r="Q8">
        <v>1.4999999999999999E-2</v>
      </c>
      <c r="R8">
        <v>9.0999999999999998E-2</v>
      </c>
      <c r="S8">
        <v>0</v>
      </c>
      <c r="T8">
        <v>0</v>
      </c>
      <c r="U8">
        <v>0</v>
      </c>
      <c r="V8">
        <v>1</v>
      </c>
      <c r="W8">
        <v>0</v>
      </c>
      <c r="X8">
        <v>1</v>
      </c>
      <c r="Y8">
        <v>0</v>
      </c>
      <c r="Z8">
        <v>0</v>
      </c>
      <c r="AA8">
        <v>14</v>
      </c>
      <c r="AB8">
        <v>0</v>
      </c>
      <c r="AC8">
        <v>0</v>
      </c>
      <c r="AD8">
        <v>0</v>
      </c>
      <c r="AE8">
        <v>0</v>
      </c>
      <c r="AF8">
        <v>0</v>
      </c>
    </row>
    <row r="9" spans="1:37" x14ac:dyDescent="0.35">
      <c r="B9" t="s">
        <v>203</v>
      </c>
      <c r="C9" t="s">
        <v>204</v>
      </c>
      <c r="D9" t="s">
        <v>202</v>
      </c>
      <c r="E9">
        <v>2.1</v>
      </c>
      <c r="F9" t="s">
        <v>205</v>
      </c>
      <c r="G9" s="75">
        <v>45256</v>
      </c>
      <c r="H9" t="s">
        <v>209</v>
      </c>
      <c r="I9" t="s">
        <v>214</v>
      </c>
      <c r="J9" t="s">
        <v>206</v>
      </c>
      <c r="K9" t="s">
        <v>206</v>
      </c>
      <c r="L9">
        <v>0</v>
      </c>
      <c r="M9">
        <v>3394</v>
      </c>
      <c r="N9" t="s">
        <v>216</v>
      </c>
      <c r="O9" t="s">
        <v>129</v>
      </c>
      <c r="P9" t="s">
        <v>129</v>
      </c>
      <c r="Q9">
        <v>4.0000000000000001E-3</v>
      </c>
      <c r="R9">
        <v>0.108</v>
      </c>
      <c r="S9">
        <v>0</v>
      </c>
      <c r="T9">
        <v>11</v>
      </c>
      <c r="U9">
        <v>0</v>
      </c>
      <c r="V9">
        <v>0</v>
      </c>
      <c r="W9">
        <v>0</v>
      </c>
      <c r="X9">
        <v>1</v>
      </c>
      <c r="Y9">
        <v>1</v>
      </c>
      <c r="Z9">
        <v>1</v>
      </c>
      <c r="AA9">
        <v>12</v>
      </c>
      <c r="AB9">
        <v>0</v>
      </c>
      <c r="AC9">
        <v>0</v>
      </c>
      <c r="AD9">
        <v>0</v>
      </c>
      <c r="AE9">
        <v>0</v>
      </c>
      <c r="AF9">
        <v>0</v>
      </c>
    </row>
    <row r="10" spans="1:37" x14ac:dyDescent="0.35">
      <c r="B10" t="s">
        <v>203</v>
      </c>
      <c r="C10" t="s">
        <v>204</v>
      </c>
      <c r="D10" t="s">
        <v>202</v>
      </c>
      <c r="E10">
        <v>2.1</v>
      </c>
      <c r="F10" t="s">
        <v>205</v>
      </c>
      <c r="G10" s="75">
        <v>45256</v>
      </c>
      <c r="H10" t="s">
        <v>210</v>
      </c>
      <c r="I10" t="s">
        <v>214</v>
      </c>
      <c r="J10" t="s">
        <v>206</v>
      </c>
      <c r="K10" t="s">
        <v>139</v>
      </c>
      <c r="L10" t="s">
        <v>196</v>
      </c>
      <c r="M10">
        <v>7778</v>
      </c>
      <c r="N10" t="s">
        <v>217</v>
      </c>
      <c r="O10" t="s">
        <v>129</v>
      </c>
      <c r="P10" t="s">
        <v>131</v>
      </c>
      <c r="Q10">
        <v>0.38</v>
      </c>
      <c r="R10">
        <v>6.6000000000000003E-2</v>
      </c>
      <c r="S10">
        <v>0</v>
      </c>
      <c r="T10">
        <v>0</v>
      </c>
      <c r="U10">
        <v>0</v>
      </c>
      <c r="V10">
        <v>0</v>
      </c>
      <c r="W10">
        <v>0</v>
      </c>
      <c r="X10">
        <v>1</v>
      </c>
      <c r="Y10">
        <v>0</v>
      </c>
      <c r="Z10">
        <v>0</v>
      </c>
      <c r="AA10">
        <v>5</v>
      </c>
      <c r="AB10">
        <v>0</v>
      </c>
      <c r="AC10">
        <v>0</v>
      </c>
      <c r="AD10">
        <v>0</v>
      </c>
      <c r="AE10">
        <v>0</v>
      </c>
      <c r="AF10">
        <v>0</v>
      </c>
    </row>
    <row r="11" spans="1:37" x14ac:dyDescent="0.35">
      <c r="B11" t="s">
        <v>203</v>
      </c>
      <c r="C11" t="s">
        <v>204</v>
      </c>
      <c r="D11" t="s">
        <v>202</v>
      </c>
      <c r="E11">
        <v>2.1</v>
      </c>
      <c r="F11" t="s">
        <v>205</v>
      </c>
      <c r="G11" s="75">
        <v>45256</v>
      </c>
      <c r="H11" t="s">
        <v>211</v>
      </c>
      <c r="I11" t="s">
        <v>214</v>
      </c>
      <c r="J11" t="s">
        <v>206</v>
      </c>
      <c r="K11" t="s">
        <v>139</v>
      </c>
      <c r="L11" t="s">
        <v>196</v>
      </c>
      <c r="M11">
        <v>1241</v>
      </c>
      <c r="N11" t="s">
        <v>211</v>
      </c>
      <c r="O11" t="s">
        <v>129</v>
      </c>
      <c r="P11" t="s">
        <v>129</v>
      </c>
      <c r="Q11">
        <v>1.7000000000000001E-2</v>
      </c>
      <c r="R11">
        <v>0.20899999999999999</v>
      </c>
      <c r="S11">
        <v>0</v>
      </c>
      <c r="T11">
        <v>0</v>
      </c>
      <c r="U11">
        <v>0</v>
      </c>
      <c r="V11">
        <v>0</v>
      </c>
      <c r="W11">
        <v>0</v>
      </c>
      <c r="X11">
        <v>1</v>
      </c>
      <c r="Y11">
        <v>0</v>
      </c>
      <c r="Z11">
        <v>0</v>
      </c>
      <c r="AA11">
        <v>12</v>
      </c>
      <c r="AB11">
        <v>0</v>
      </c>
      <c r="AC11">
        <v>0</v>
      </c>
      <c r="AD11">
        <v>0</v>
      </c>
      <c r="AE11">
        <v>0</v>
      </c>
      <c r="AF11">
        <v>0</v>
      </c>
    </row>
    <row r="12" spans="1:37" x14ac:dyDescent="0.35">
      <c r="B12" t="s">
        <v>203</v>
      </c>
      <c r="C12" t="s">
        <v>204</v>
      </c>
      <c r="D12" t="s">
        <v>202</v>
      </c>
      <c r="E12">
        <v>2.1</v>
      </c>
      <c r="F12" t="s">
        <v>205</v>
      </c>
      <c r="G12" s="75">
        <v>45256</v>
      </c>
      <c r="H12" t="s">
        <v>218</v>
      </c>
      <c r="I12" t="s">
        <v>214</v>
      </c>
      <c r="J12" t="s">
        <v>206</v>
      </c>
      <c r="K12" t="s">
        <v>139</v>
      </c>
      <c r="L12" t="s">
        <v>196</v>
      </c>
      <c r="M12">
        <v>1601</v>
      </c>
      <c r="N12" t="s">
        <v>218</v>
      </c>
      <c r="O12" t="s">
        <v>129</v>
      </c>
      <c r="P12" t="s">
        <v>129</v>
      </c>
      <c r="Q12">
        <v>5.1999999999999998E-2</v>
      </c>
      <c r="R12">
        <v>4.8000000000000001E-2</v>
      </c>
      <c r="S12">
        <v>0</v>
      </c>
      <c r="T12">
        <v>0</v>
      </c>
      <c r="U12">
        <v>0</v>
      </c>
      <c r="V12">
        <v>0</v>
      </c>
      <c r="W12">
        <v>0</v>
      </c>
      <c r="X12">
        <v>1</v>
      </c>
      <c r="Y12">
        <v>0</v>
      </c>
      <c r="Z12">
        <v>0</v>
      </c>
      <c r="AA12">
        <v>12</v>
      </c>
      <c r="AB12">
        <v>0</v>
      </c>
      <c r="AC12">
        <v>0</v>
      </c>
      <c r="AD12">
        <v>0</v>
      </c>
      <c r="AE12">
        <v>0</v>
      </c>
      <c r="AF12">
        <v>0</v>
      </c>
    </row>
    <row r="13" spans="1:37" x14ac:dyDescent="0.35">
      <c r="B13" t="s">
        <v>203</v>
      </c>
      <c r="C13" t="s">
        <v>204</v>
      </c>
      <c r="D13" t="s">
        <v>202</v>
      </c>
      <c r="E13">
        <v>2.1</v>
      </c>
      <c r="F13" t="s">
        <v>205</v>
      </c>
      <c r="G13" s="75">
        <v>45256</v>
      </c>
      <c r="H13" t="s">
        <v>219</v>
      </c>
      <c r="I13" t="s">
        <v>214</v>
      </c>
      <c r="J13" t="s">
        <v>206</v>
      </c>
      <c r="K13" t="s">
        <v>139</v>
      </c>
      <c r="L13" t="s">
        <v>196</v>
      </c>
      <c r="M13">
        <v>865</v>
      </c>
      <c r="N13" t="s">
        <v>219</v>
      </c>
      <c r="O13" t="s">
        <v>129</v>
      </c>
      <c r="P13" t="s">
        <v>129</v>
      </c>
      <c r="Q13">
        <v>2.1000000000000001E-2</v>
      </c>
      <c r="R13">
        <v>7.9000000000000001E-2</v>
      </c>
      <c r="S13">
        <v>0</v>
      </c>
      <c r="T13">
        <v>0</v>
      </c>
      <c r="U13">
        <v>0</v>
      </c>
      <c r="V13">
        <v>0</v>
      </c>
      <c r="W13">
        <v>0</v>
      </c>
      <c r="X13">
        <v>1</v>
      </c>
      <c r="Y13">
        <v>0</v>
      </c>
      <c r="Z13">
        <v>0</v>
      </c>
      <c r="AA13">
        <v>12</v>
      </c>
      <c r="AB13">
        <v>0</v>
      </c>
      <c r="AC13">
        <v>0</v>
      </c>
      <c r="AD13">
        <v>0</v>
      </c>
      <c r="AE13">
        <v>0</v>
      </c>
      <c r="AF13">
        <v>0</v>
      </c>
    </row>
    <row r="14" spans="1:37" x14ac:dyDescent="0.35">
      <c r="B14" t="s">
        <v>203</v>
      </c>
      <c r="C14" t="s">
        <v>204</v>
      </c>
      <c r="D14" t="s">
        <v>202</v>
      </c>
      <c r="E14">
        <v>2.1</v>
      </c>
      <c r="F14" t="s">
        <v>205</v>
      </c>
      <c r="G14" s="75">
        <v>45256</v>
      </c>
      <c r="H14" t="s">
        <v>220</v>
      </c>
      <c r="I14" t="s">
        <v>214</v>
      </c>
      <c r="J14" t="s">
        <v>206</v>
      </c>
      <c r="K14" t="s">
        <v>139</v>
      </c>
      <c r="L14" t="s">
        <v>196</v>
      </c>
      <c r="M14">
        <v>2579</v>
      </c>
      <c r="N14" t="s">
        <v>220</v>
      </c>
      <c r="O14" t="s">
        <v>129</v>
      </c>
      <c r="P14" t="s">
        <v>129</v>
      </c>
      <c r="Q14">
        <v>6.0000000000000001E-3</v>
      </c>
      <c r="R14">
        <v>8.5999999999999993E-2</v>
      </c>
      <c r="S14">
        <v>0</v>
      </c>
      <c r="T14">
        <v>0</v>
      </c>
      <c r="U14">
        <v>0</v>
      </c>
      <c r="V14">
        <v>0</v>
      </c>
      <c r="W14">
        <v>0</v>
      </c>
      <c r="X14">
        <v>1</v>
      </c>
      <c r="Y14">
        <v>0</v>
      </c>
      <c r="Z14">
        <v>0</v>
      </c>
      <c r="AA14">
        <v>12</v>
      </c>
      <c r="AB14">
        <v>0</v>
      </c>
      <c r="AC14">
        <v>0</v>
      </c>
      <c r="AD14">
        <v>0</v>
      </c>
      <c r="AE14">
        <v>0</v>
      </c>
      <c r="AF14">
        <v>0</v>
      </c>
    </row>
    <row r="15" spans="1:37" x14ac:dyDescent="0.35">
      <c r="B15" t="s">
        <v>203</v>
      </c>
      <c r="C15" t="s">
        <v>204</v>
      </c>
      <c r="D15" t="s">
        <v>202</v>
      </c>
      <c r="E15">
        <v>2.1</v>
      </c>
      <c r="F15" t="s">
        <v>205</v>
      </c>
      <c r="G15" s="75">
        <v>45256</v>
      </c>
      <c r="H15" t="s">
        <v>221</v>
      </c>
      <c r="I15" t="s">
        <v>214</v>
      </c>
      <c r="J15" t="s">
        <v>206</v>
      </c>
      <c r="K15" t="s">
        <v>139</v>
      </c>
      <c r="L15" t="s">
        <v>196</v>
      </c>
      <c r="M15">
        <v>1609</v>
      </c>
      <c r="N15" t="s">
        <v>221</v>
      </c>
      <c r="O15" t="s">
        <v>129</v>
      </c>
      <c r="P15" t="s">
        <v>129</v>
      </c>
      <c r="Q15">
        <v>9.6000000000000002E-2</v>
      </c>
      <c r="R15">
        <v>0.01</v>
      </c>
      <c r="S15">
        <v>0</v>
      </c>
      <c r="T15">
        <v>0</v>
      </c>
      <c r="U15">
        <v>0</v>
      </c>
      <c r="V15">
        <v>0</v>
      </c>
      <c r="W15">
        <v>0</v>
      </c>
      <c r="X15">
        <v>1</v>
      </c>
      <c r="Y15">
        <v>0</v>
      </c>
      <c r="Z15">
        <v>0</v>
      </c>
      <c r="AA15">
        <v>12</v>
      </c>
      <c r="AB15">
        <v>0</v>
      </c>
      <c r="AC15">
        <v>0</v>
      </c>
      <c r="AD15">
        <v>0</v>
      </c>
      <c r="AE15">
        <v>0</v>
      </c>
      <c r="AF15">
        <v>0</v>
      </c>
    </row>
    <row r="16" spans="1:37" x14ac:dyDescent="0.35">
      <c r="B16" t="s">
        <v>203</v>
      </c>
      <c r="C16" t="s">
        <v>204</v>
      </c>
      <c r="D16" t="s">
        <v>202</v>
      </c>
      <c r="E16">
        <v>2.1</v>
      </c>
      <c r="F16" t="s">
        <v>205</v>
      </c>
      <c r="G16" s="75">
        <v>45256</v>
      </c>
      <c r="H16" t="s">
        <v>222</v>
      </c>
      <c r="I16" t="s">
        <v>214</v>
      </c>
      <c r="J16" t="s">
        <v>206</v>
      </c>
      <c r="K16" t="s">
        <v>139</v>
      </c>
      <c r="L16" t="s">
        <v>196</v>
      </c>
      <c r="M16">
        <v>2337</v>
      </c>
      <c r="N16" t="s">
        <v>222</v>
      </c>
      <c r="O16" t="s">
        <v>129</v>
      </c>
      <c r="P16" t="s">
        <v>129</v>
      </c>
      <c r="Q16">
        <v>1.2E-2</v>
      </c>
      <c r="R16">
        <v>0.123</v>
      </c>
      <c r="S16">
        <v>0</v>
      </c>
      <c r="T16">
        <v>0</v>
      </c>
      <c r="U16">
        <v>0</v>
      </c>
      <c r="V16">
        <v>0</v>
      </c>
      <c r="W16">
        <v>0</v>
      </c>
      <c r="X16">
        <v>1</v>
      </c>
      <c r="Y16">
        <v>0</v>
      </c>
      <c r="Z16">
        <v>0</v>
      </c>
      <c r="AA16">
        <v>12</v>
      </c>
      <c r="AB16">
        <v>0</v>
      </c>
      <c r="AC16">
        <v>0</v>
      </c>
      <c r="AD16">
        <v>0</v>
      </c>
      <c r="AE16">
        <v>0</v>
      </c>
      <c r="AF16">
        <v>0</v>
      </c>
    </row>
    <row r="17" spans="2:32" x14ac:dyDescent="0.35">
      <c r="B17" t="s">
        <v>203</v>
      </c>
      <c r="C17" t="s">
        <v>204</v>
      </c>
      <c r="D17" t="s">
        <v>202</v>
      </c>
      <c r="E17">
        <v>2.1</v>
      </c>
      <c r="F17" t="s">
        <v>205</v>
      </c>
      <c r="G17" s="75">
        <v>45256</v>
      </c>
      <c r="H17" t="s">
        <v>225</v>
      </c>
      <c r="I17" t="s">
        <v>214</v>
      </c>
      <c r="J17" t="s">
        <v>206</v>
      </c>
      <c r="K17" t="s">
        <v>139</v>
      </c>
      <c r="L17" t="s">
        <v>196</v>
      </c>
      <c r="M17">
        <v>2646</v>
      </c>
      <c r="N17" t="s">
        <v>227</v>
      </c>
      <c r="O17" t="s">
        <v>129</v>
      </c>
      <c r="P17" t="s">
        <v>129</v>
      </c>
      <c r="Q17">
        <v>1.2999999999999999E-2</v>
      </c>
      <c r="R17">
        <v>8.5999999999999993E-2</v>
      </c>
      <c r="S17">
        <v>0</v>
      </c>
      <c r="T17">
        <v>0</v>
      </c>
      <c r="U17">
        <v>0</v>
      </c>
      <c r="V17">
        <v>0</v>
      </c>
      <c r="W17">
        <v>1</v>
      </c>
      <c r="X17">
        <v>2</v>
      </c>
      <c r="Y17">
        <v>0</v>
      </c>
      <c r="Z17">
        <v>0</v>
      </c>
      <c r="AA17">
        <v>12</v>
      </c>
      <c r="AB17">
        <v>0</v>
      </c>
      <c r="AC17">
        <v>0</v>
      </c>
      <c r="AD17">
        <v>0</v>
      </c>
      <c r="AE17">
        <v>0</v>
      </c>
      <c r="AF17">
        <v>0</v>
      </c>
    </row>
    <row r="18" spans="2:32" x14ac:dyDescent="0.35">
      <c r="B18" t="s">
        <v>203</v>
      </c>
      <c r="C18" t="s">
        <v>204</v>
      </c>
      <c r="D18" t="s">
        <v>202</v>
      </c>
      <c r="E18">
        <v>2.1</v>
      </c>
      <c r="F18" t="s">
        <v>205</v>
      </c>
      <c r="G18" s="75">
        <v>45256</v>
      </c>
      <c r="H18" t="s">
        <v>224</v>
      </c>
      <c r="I18" t="s">
        <v>214</v>
      </c>
      <c r="J18" t="s">
        <v>206</v>
      </c>
      <c r="K18" t="s">
        <v>139</v>
      </c>
      <c r="L18" t="s">
        <v>196</v>
      </c>
      <c r="M18">
        <v>2901</v>
      </c>
      <c r="N18" t="s">
        <v>226</v>
      </c>
      <c r="O18" t="s">
        <v>129</v>
      </c>
      <c r="P18" t="s">
        <v>129</v>
      </c>
      <c r="Q18">
        <v>0.01</v>
      </c>
      <c r="R18">
        <v>0.11</v>
      </c>
      <c r="S18">
        <v>0</v>
      </c>
      <c r="T18">
        <v>0</v>
      </c>
      <c r="U18">
        <v>0</v>
      </c>
      <c r="V18">
        <v>0</v>
      </c>
      <c r="W18">
        <v>0</v>
      </c>
      <c r="X18">
        <v>1</v>
      </c>
      <c r="Y18">
        <v>0</v>
      </c>
      <c r="Z18">
        <v>0</v>
      </c>
      <c r="AA18">
        <v>12</v>
      </c>
      <c r="AB18">
        <v>0</v>
      </c>
      <c r="AC18">
        <v>0</v>
      </c>
      <c r="AD18">
        <v>0</v>
      </c>
      <c r="AE18">
        <v>0</v>
      </c>
      <c r="AF18">
        <v>0</v>
      </c>
    </row>
    <row r="19" spans="2:32" x14ac:dyDescent="0.35">
      <c r="B19" t="s">
        <v>203</v>
      </c>
      <c r="C19" t="s">
        <v>204</v>
      </c>
      <c r="D19" t="s">
        <v>202</v>
      </c>
      <c r="E19">
        <v>2.1</v>
      </c>
      <c r="F19" t="s">
        <v>205</v>
      </c>
      <c r="G19" s="75">
        <v>45256</v>
      </c>
      <c r="H19" t="s">
        <v>223</v>
      </c>
      <c r="I19" t="s">
        <v>214</v>
      </c>
      <c r="J19" t="s">
        <v>206</v>
      </c>
      <c r="K19" t="s">
        <v>139</v>
      </c>
      <c r="L19" t="s">
        <v>196</v>
      </c>
      <c r="M19">
        <v>1911</v>
      </c>
      <c r="N19" t="s">
        <v>223</v>
      </c>
      <c r="O19" t="s">
        <v>129</v>
      </c>
      <c r="P19" t="s">
        <v>129</v>
      </c>
      <c r="Q19">
        <v>1.2999999999999999E-2</v>
      </c>
      <c r="R19">
        <v>0.14599999999999999</v>
      </c>
      <c r="S19">
        <v>0</v>
      </c>
      <c r="T19">
        <v>0</v>
      </c>
      <c r="U19">
        <v>0</v>
      </c>
      <c r="V19">
        <v>0</v>
      </c>
      <c r="W19">
        <v>0</v>
      </c>
      <c r="X19">
        <v>1</v>
      </c>
      <c r="Y19">
        <v>0</v>
      </c>
      <c r="Z19">
        <v>0</v>
      </c>
      <c r="AA19">
        <v>12</v>
      </c>
      <c r="AB19">
        <v>0</v>
      </c>
      <c r="AC19">
        <v>0</v>
      </c>
      <c r="AD19">
        <v>0</v>
      </c>
      <c r="AE19">
        <v>0</v>
      </c>
      <c r="AF19">
        <v>0</v>
      </c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opyAssetFinal">
                <anchor moveWithCells="1" sizeWithCells="1">
                  <from>
                    <xdr:col>0</xdr:col>
                    <xdr:colOff>88900</xdr:colOff>
                    <xdr:row>1</xdr:row>
                    <xdr:rowOff>393700</xdr:rowOff>
                  </from>
                  <to>
                    <xdr:col>0</xdr:col>
                    <xdr:colOff>565150</xdr:colOff>
                    <xdr:row>1</xdr:row>
                    <xdr:rowOff>685800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copyRepoFinal">
                <anchor moveWithCells="1" sizeWithCells="1">
                  <from>
                    <xdr:col>0</xdr:col>
                    <xdr:colOff>88900</xdr:colOff>
                    <xdr:row>5</xdr:row>
                    <xdr:rowOff>165100</xdr:rowOff>
                  </from>
                  <to>
                    <xdr:col>0</xdr:col>
                    <xdr:colOff>565150</xdr:colOff>
                    <xdr:row>5</xdr:row>
                    <xdr:rowOff>431800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B17F7-50ED-4E10-B657-BC1884D87D82}">
  <sheetPr codeName="Sheet6">
    <tabColor rgb="FF7030A0"/>
  </sheetPr>
  <dimension ref="A1:Q8"/>
  <sheetViews>
    <sheetView workbookViewId="0">
      <selection activeCell="J6" sqref="J6"/>
    </sheetView>
  </sheetViews>
  <sheetFormatPr defaultRowHeight="14.5" x14ac:dyDescent="0.35"/>
  <cols>
    <col min="1" max="1" width="35.81640625" bestFit="1" customWidth="1"/>
    <col min="4" max="4" width="9.453125" customWidth="1"/>
    <col min="8" max="8" width="7.54296875" bestFit="1" customWidth="1"/>
    <col min="10" max="10" width="11.54296875" customWidth="1"/>
    <col min="11" max="11" width="10.453125" customWidth="1"/>
    <col min="13" max="13" width="11.453125" customWidth="1"/>
    <col min="16" max="16" width="12.81640625" customWidth="1"/>
  </cols>
  <sheetData>
    <row r="1" spans="1:17" ht="29" x14ac:dyDescent="0.35">
      <c r="A1" s="10" t="s">
        <v>10</v>
      </c>
      <c r="D1" s="17" t="s">
        <v>122</v>
      </c>
      <c r="E1" t="s">
        <v>123</v>
      </c>
      <c r="G1" t="s">
        <v>124</v>
      </c>
      <c r="H1" t="s">
        <v>125</v>
      </c>
      <c r="J1" s="17" t="s">
        <v>38</v>
      </c>
      <c r="K1" t="s">
        <v>123</v>
      </c>
      <c r="M1" s="17" t="s">
        <v>43</v>
      </c>
      <c r="N1" t="s">
        <v>123</v>
      </c>
      <c r="P1" t="s">
        <v>126</v>
      </c>
      <c r="Q1" t="s">
        <v>127</v>
      </c>
    </row>
    <row r="2" spans="1:17" x14ac:dyDescent="0.35">
      <c r="A2" t="s">
        <v>128</v>
      </c>
      <c r="D2" s="4">
        <v>5</v>
      </c>
      <c r="E2" s="4" t="s">
        <v>129</v>
      </c>
      <c r="G2" s="4" t="s">
        <v>129</v>
      </c>
      <c r="H2" s="4">
        <v>5</v>
      </c>
      <c r="J2" s="26">
        <v>0.8</v>
      </c>
      <c r="K2" s="4" t="s">
        <v>129</v>
      </c>
      <c r="M2" s="26">
        <v>0.03</v>
      </c>
      <c r="N2" s="29" t="s">
        <v>129</v>
      </c>
      <c r="P2" s="26">
        <v>0.25</v>
      </c>
      <c r="Q2" s="29" t="s">
        <v>129</v>
      </c>
    </row>
    <row r="3" spans="1:17" x14ac:dyDescent="0.35">
      <c r="A3" t="s">
        <v>130</v>
      </c>
      <c r="D3" s="4">
        <v>4</v>
      </c>
      <c r="E3" s="4" t="s">
        <v>129</v>
      </c>
      <c r="G3" s="4" t="s">
        <v>131</v>
      </c>
      <c r="H3" s="4">
        <v>4</v>
      </c>
      <c r="J3" s="26">
        <v>0.6</v>
      </c>
      <c r="K3" s="4" t="s">
        <v>131</v>
      </c>
      <c r="M3" s="26">
        <v>0.05</v>
      </c>
      <c r="N3" s="30" t="s">
        <v>131</v>
      </c>
      <c r="P3" s="26">
        <v>0.3</v>
      </c>
      <c r="Q3" s="30" t="s">
        <v>131</v>
      </c>
    </row>
    <row r="4" spans="1:17" x14ac:dyDescent="0.35">
      <c r="A4" t="s">
        <v>132</v>
      </c>
      <c r="D4" s="4">
        <v>3</v>
      </c>
      <c r="E4" s="4" t="s">
        <v>131</v>
      </c>
      <c r="G4" s="4" t="s">
        <v>133</v>
      </c>
      <c r="H4" s="4">
        <v>3</v>
      </c>
      <c r="J4" s="26">
        <v>0.35</v>
      </c>
      <c r="K4" s="4" t="s">
        <v>133</v>
      </c>
      <c r="M4" s="26">
        <v>0.1</v>
      </c>
      <c r="N4" s="29" t="s">
        <v>133</v>
      </c>
      <c r="P4" s="26">
        <v>0.35</v>
      </c>
      <c r="Q4" s="29" t="s">
        <v>133</v>
      </c>
    </row>
    <row r="5" spans="1:17" x14ac:dyDescent="0.35">
      <c r="A5" t="s">
        <v>134</v>
      </c>
      <c r="D5" s="4">
        <v>2</v>
      </c>
      <c r="E5" s="4" t="s">
        <v>133</v>
      </c>
      <c r="G5" s="4" t="s">
        <v>135</v>
      </c>
      <c r="H5" s="4">
        <v>2</v>
      </c>
      <c r="J5" s="26">
        <v>0</v>
      </c>
      <c r="K5" s="4" t="s">
        <v>135</v>
      </c>
      <c r="M5" s="26">
        <v>0.2</v>
      </c>
      <c r="N5" s="30" t="s">
        <v>135</v>
      </c>
      <c r="P5" s="26">
        <v>0.5</v>
      </c>
      <c r="Q5" s="30" t="s">
        <v>135</v>
      </c>
    </row>
    <row r="6" spans="1:17" x14ac:dyDescent="0.35">
      <c r="A6" t="s">
        <v>136</v>
      </c>
      <c r="D6" s="4">
        <v>1</v>
      </c>
      <c r="E6" s="4" t="s">
        <v>135</v>
      </c>
      <c r="G6" s="4" t="s">
        <v>137</v>
      </c>
      <c r="H6" s="4">
        <v>1</v>
      </c>
      <c r="J6" s="4" t="s">
        <v>138</v>
      </c>
      <c r="K6" s="4" t="s">
        <v>137</v>
      </c>
      <c r="M6" s="26">
        <v>1</v>
      </c>
      <c r="N6" s="29" t="s">
        <v>137</v>
      </c>
      <c r="P6" s="26">
        <v>1</v>
      </c>
      <c r="Q6" s="29" t="s">
        <v>137</v>
      </c>
    </row>
    <row r="7" spans="1:17" x14ac:dyDescent="0.35">
      <c r="D7" s="4">
        <v>0</v>
      </c>
      <c r="E7" s="4" t="s">
        <v>137</v>
      </c>
      <c r="G7" s="4" t="s">
        <v>139</v>
      </c>
      <c r="H7" s="4">
        <v>0</v>
      </c>
      <c r="J7" s="26" t="s">
        <v>140</v>
      </c>
      <c r="K7" s="4" t="s">
        <v>140</v>
      </c>
      <c r="M7" s="4" t="s">
        <v>140</v>
      </c>
      <c r="N7" s="30" t="s">
        <v>140</v>
      </c>
      <c r="P7" s="34" t="s">
        <v>140</v>
      </c>
      <c r="Q7" s="34" t="s">
        <v>140</v>
      </c>
    </row>
    <row r="8" spans="1:17" x14ac:dyDescent="0.35">
      <c r="D8" s="4">
        <v>6</v>
      </c>
      <c r="E8" s="4" t="s">
        <v>129</v>
      </c>
      <c r="J8" s="26" t="s">
        <v>139</v>
      </c>
      <c r="K8" s="4" t="s">
        <v>139</v>
      </c>
    </row>
  </sheetData>
  <sheetProtection algorithmName="SHA-512" hashValue="LD/QfID/jk9qfhM76aTTVHNNyB+s1WgQnLA3jRfRTphYeTpXHNloWnv3U/NHWmcOKRgVMrYMRZjIVru7pWQahQ==" saltValue="C0AANbXTjk9lp2hmq0Ue/A==" spinCount="100000" sheet="1" objects="1" scenarios="1"/>
  <pageMargins left="0.7" right="0.7" top="0.75" bottom="0.75" header="0.3" footer="0.3"/>
  <pageSetup orientation="portrait" horizontalDpi="4294967293" verticalDpi="0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2290F-9259-49FD-ADDB-2BA5883612B3}">
  <sheetPr codeName="Sheet9">
    <tabColor rgb="FF002060"/>
  </sheetPr>
  <dimension ref="A1:O15"/>
  <sheetViews>
    <sheetView zoomScaleNormal="100" workbookViewId="0">
      <selection activeCell="G21" sqref="G21"/>
    </sheetView>
  </sheetViews>
  <sheetFormatPr defaultRowHeight="14.5" x14ac:dyDescent="0.35"/>
  <cols>
    <col min="1" max="1" width="33.1796875" bestFit="1" customWidth="1"/>
    <col min="2" max="7" width="14.453125" customWidth="1"/>
    <col min="8" max="8" width="50.1796875" bestFit="1" customWidth="1"/>
  </cols>
  <sheetData>
    <row r="1" spans="1:15" s="17" customFormat="1" ht="29" x14ac:dyDescent="0.35">
      <c r="A1" s="17" t="s">
        <v>141</v>
      </c>
      <c r="B1" s="81" t="s">
        <v>142</v>
      </c>
      <c r="C1" s="81" t="s">
        <v>143</v>
      </c>
      <c r="D1" s="81" t="s">
        <v>144</v>
      </c>
      <c r="E1" s="81" t="s">
        <v>145</v>
      </c>
      <c r="F1" s="81" t="s">
        <v>146</v>
      </c>
      <c r="G1" s="82" t="s">
        <v>147</v>
      </c>
      <c r="H1" s="17" t="s">
        <v>29</v>
      </c>
    </row>
    <row r="2" spans="1:15" ht="29" x14ac:dyDescent="0.35">
      <c r="A2" t="s">
        <v>107</v>
      </c>
      <c r="B2" s="4" t="s">
        <v>148</v>
      </c>
      <c r="C2" s="4" t="s">
        <v>148</v>
      </c>
      <c r="D2" s="4" t="s">
        <v>148</v>
      </c>
      <c r="E2" s="4" t="s">
        <v>148</v>
      </c>
      <c r="F2" s="4" t="s">
        <v>148</v>
      </c>
      <c r="G2" s="83" t="s">
        <v>148</v>
      </c>
      <c r="H2" s="17" t="s">
        <v>149</v>
      </c>
    </row>
    <row r="3" spans="1:15" x14ac:dyDescent="0.35">
      <c r="A3" t="s">
        <v>150</v>
      </c>
      <c r="B3" s="4" t="s">
        <v>148</v>
      </c>
      <c r="C3" s="4" t="s">
        <v>148</v>
      </c>
      <c r="D3" s="4" t="s">
        <v>148</v>
      </c>
      <c r="E3" s="4" t="s">
        <v>148</v>
      </c>
      <c r="F3" s="4" t="s">
        <v>148</v>
      </c>
      <c r="G3" s="83" t="s">
        <v>148</v>
      </c>
      <c r="H3" s="17"/>
    </row>
    <row r="4" spans="1:15" x14ac:dyDescent="0.35">
      <c r="A4" t="s">
        <v>151</v>
      </c>
      <c r="B4" s="4" t="s">
        <v>148</v>
      </c>
      <c r="C4" s="4" t="s">
        <v>148</v>
      </c>
      <c r="D4" s="4" t="s">
        <v>148</v>
      </c>
      <c r="E4" s="4" t="s">
        <v>148</v>
      </c>
      <c r="F4" s="4" t="s">
        <v>148</v>
      </c>
      <c r="G4" s="83" t="s">
        <v>152</v>
      </c>
      <c r="H4" s="17"/>
    </row>
    <row r="5" spans="1:15" ht="29" x14ac:dyDescent="0.35">
      <c r="A5" t="s">
        <v>20</v>
      </c>
      <c r="B5" s="4" t="s">
        <v>148</v>
      </c>
      <c r="C5" s="4" t="s">
        <v>148</v>
      </c>
      <c r="D5" s="4" t="s">
        <v>148</v>
      </c>
      <c r="E5" s="4" t="s">
        <v>148</v>
      </c>
      <c r="F5" s="4" t="s">
        <v>148</v>
      </c>
      <c r="G5" s="83" t="s">
        <v>152</v>
      </c>
      <c r="H5" s="17" t="s">
        <v>153</v>
      </c>
    </row>
    <row r="6" spans="1:15" x14ac:dyDescent="0.35">
      <c r="A6" t="s">
        <v>23</v>
      </c>
      <c r="B6" s="4" t="s">
        <v>148</v>
      </c>
      <c r="C6" s="4" t="s">
        <v>152</v>
      </c>
      <c r="D6" s="4" t="s">
        <v>152</v>
      </c>
      <c r="E6" s="84" t="s">
        <v>154</v>
      </c>
      <c r="F6" s="84" t="s">
        <v>155</v>
      </c>
      <c r="G6" s="83" t="s">
        <v>152</v>
      </c>
      <c r="H6" s="17" t="s">
        <v>156</v>
      </c>
    </row>
    <row r="7" spans="1:15" x14ac:dyDescent="0.35">
      <c r="A7" t="s">
        <v>157</v>
      </c>
      <c r="B7" s="84" t="s">
        <v>154</v>
      </c>
      <c r="C7" s="84" t="s">
        <v>154</v>
      </c>
      <c r="D7" s="84" t="s">
        <v>154</v>
      </c>
      <c r="E7" s="84" t="s">
        <v>154</v>
      </c>
      <c r="F7" s="84" t="s">
        <v>154</v>
      </c>
      <c r="G7" s="83" t="s">
        <v>139</v>
      </c>
      <c r="H7" s="17"/>
    </row>
    <row r="8" spans="1:15" x14ac:dyDescent="0.35">
      <c r="A8" s="85" t="s">
        <v>158</v>
      </c>
      <c r="B8" s="86" t="s">
        <v>152</v>
      </c>
      <c r="C8" s="86" t="s">
        <v>152</v>
      </c>
      <c r="D8" s="86" t="s">
        <v>152</v>
      </c>
      <c r="E8" s="86" t="s">
        <v>152</v>
      </c>
      <c r="F8" s="86" t="s">
        <v>152</v>
      </c>
      <c r="G8" s="83" t="s">
        <v>139</v>
      </c>
      <c r="H8" s="17"/>
    </row>
    <row r="9" spans="1:15" x14ac:dyDescent="0.35">
      <c r="J9" s="178"/>
      <c r="K9" s="87"/>
      <c r="L9" s="87"/>
      <c r="M9" s="87"/>
      <c r="N9" s="178"/>
      <c r="O9" s="178"/>
    </row>
    <row r="10" spans="1:15" x14ac:dyDescent="0.35">
      <c r="J10" s="178"/>
      <c r="K10" s="87"/>
      <c r="L10" s="87"/>
      <c r="M10" s="87"/>
      <c r="N10" s="178"/>
      <c r="O10" s="178"/>
    </row>
    <row r="11" spans="1:15" x14ac:dyDescent="0.35">
      <c r="J11" s="87"/>
      <c r="K11" s="87"/>
      <c r="L11" s="87"/>
      <c r="M11" s="87"/>
      <c r="N11" s="87"/>
      <c r="O11" s="87"/>
    </row>
    <row r="12" spans="1:15" x14ac:dyDescent="0.35">
      <c r="J12" s="87"/>
      <c r="K12" s="87"/>
      <c r="L12" s="87"/>
      <c r="M12" s="87"/>
      <c r="N12" s="87"/>
      <c r="O12" s="87"/>
    </row>
    <row r="13" spans="1:15" x14ac:dyDescent="0.35">
      <c r="J13" s="87"/>
      <c r="K13" s="87"/>
      <c r="L13" s="87"/>
      <c r="M13" s="87"/>
      <c r="N13" s="87"/>
      <c r="O13" s="87"/>
    </row>
    <row r="14" spans="1:15" x14ac:dyDescent="0.35">
      <c r="H14" t="s">
        <v>159</v>
      </c>
      <c r="J14" s="87"/>
      <c r="K14" s="87"/>
      <c r="L14" s="87"/>
      <c r="M14" s="87"/>
      <c r="N14" s="87"/>
      <c r="O14" s="87"/>
    </row>
    <row r="15" spans="1:15" x14ac:dyDescent="0.35">
      <c r="J15" s="87"/>
      <c r="K15" s="87"/>
      <c r="L15" s="87"/>
      <c r="M15" s="87"/>
      <c r="N15" s="87"/>
      <c r="O15" s="87"/>
    </row>
  </sheetData>
  <sheetProtection algorithmName="SHA-512" hashValue="g9VbJT7LELcggcQnyeHiEQ/mZY47rflNhmJUIoQxRmhiGH4owRhWpi07i0FQlCLie8SUDZxlxUdmOpDGOKAk9A==" saltValue="aCIYKHAZfGC1QrZpPGM0Cg==" spinCount="100000" sheet="1" objects="1" scenarios="1"/>
  <mergeCells count="3">
    <mergeCell ref="J9:J10"/>
    <mergeCell ref="N9:N10"/>
    <mergeCell ref="O9:O10"/>
  </mergeCells>
  <conditionalFormatting sqref="B2:G8">
    <cfRule type="cellIs" dxfId="11" priority="1" operator="equal">
      <formula>"Expected"</formula>
    </cfRule>
  </conditionalFormatting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2EE7-EC03-4A88-845E-72DB8CC88F7E}">
  <sheetPr codeName="Sheet10"/>
  <dimension ref="A1:D14"/>
  <sheetViews>
    <sheetView workbookViewId="0">
      <selection activeCell="D14" sqref="D14"/>
    </sheetView>
  </sheetViews>
  <sheetFormatPr defaultRowHeight="14.5" x14ac:dyDescent="0.35"/>
  <cols>
    <col min="1" max="1" width="9" style="95" customWidth="1"/>
    <col min="2" max="2" width="9.54296875" style="75" bestFit="1" customWidth="1"/>
    <col min="3" max="3" width="10.81640625" bestFit="1" customWidth="1"/>
    <col min="4" max="4" width="42.453125" bestFit="1" customWidth="1"/>
  </cols>
  <sheetData>
    <row r="1" spans="1:4" x14ac:dyDescent="0.35">
      <c r="A1" s="95" t="s">
        <v>33</v>
      </c>
      <c r="B1" s="95" t="s">
        <v>0</v>
      </c>
      <c r="C1" s="75" t="s">
        <v>160</v>
      </c>
      <c r="D1" t="s">
        <v>161</v>
      </c>
    </row>
    <row r="2" spans="1:4" x14ac:dyDescent="0.35">
      <c r="A2">
        <f t="shared" ref="A2:A7" si="0">ROW()-1</f>
        <v>1</v>
      </c>
      <c r="B2" s="95" t="s">
        <v>162</v>
      </c>
      <c r="C2" s="75">
        <v>45010</v>
      </c>
      <c r="D2" t="s">
        <v>163</v>
      </c>
    </row>
    <row r="3" spans="1:4" x14ac:dyDescent="0.35">
      <c r="A3">
        <f t="shared" si="0"/>
        <v>2</v>
      </c>
      <c r="B3" s="95" t="s">
        <v>164</v>
      </c>
      <c r="C3" s="75">
        <v>45014</v>
      </c>
      <c r="D3" t="s">
        <v>165</v>
      </c>
    </row>
    <row r="4" spans="1:4" x14ac:dyDescent="0.35">
      <c r="A4">
        <f t="shared" si="0"/>
        <v>3</v>
      </c>
      <c r="B4" s="95" t="s">
        <v>166</v>
      </c>
      <c r="C4" s="75" t="s">
        <v>167</v>
      </c>
      <c r="D4" t="s">
        <v>168</v>
      </c>
    </row>
    <row r="5" spans="1:4" x14ac:dyDescent="0.35">
      <c r="A5">
        <f t="shared" si="0"/>
        <v>4</v>
      </c>
      <c r="B5" s="95" t="s">
        <v>169</v>
      </c>
      <c r="C5" s="75" t="s">
        <v>167</v>
      </c>
      <c r="D5" t="s">
        <v>170</v>
      </c>
    </row>
    <row r="6" spans="1:4" x14ac:dyDescent="0.35">
      <c r="A6">
        <f t="shared" si="0"/>
        <v>5</v>
      </c>
      <c r="B6" s="95" t="s">
        <v>171</v>
      </c>
      <c r="C6" s="75">
        <v>45027</v>
      </c>
      <c r="D6" t="s">
        <v>172</v>
      </c>
    </row>
    <row r="7" spans="1:4" ht="29" x14ac:dyDescent="0.35">
      <c r="A7">
        <f t="shared" si="0"/>
        <v>6</v>
      </c>
      <c r="B7" s="95" t="s">
        <v>173</v>
      </c>
      <c r="C7" s="75">
        <v>45054</v>
      </c>
      <c r="D7" s="17" t="s">
        <v>174</v>
      </c>
    </row>
    <row r="8" spans="1:4" x14ac:dyDescent="0.35">
      <c r="A8">
        <f t="shared" ref="A8:A13" si="1">ROW()-1</f>
        <v>7</v>
      </c>
      <c r="B8" s="95" t="s">
        <v>175</v>
      </c>
      <c r="C8" s="75">
        <v>45057</v>
      </c>
      <c r="D8" t="s">
        <v>176</v>
      </c>
    </row>
    <row r="9" spans="1:4" x14ac:dyDescent="0.35">
      <c r="A9">
        <f t="shared" si="1"/>
        <v>8</v>
      </c>
      <c r="B9" s="95" t="s">
        <v>177</v>
      </c>
      <c r="C9" s="75">
        <v>45058</v>
      </c>
      <c r="D9" t="s">
        <v>178</v>
      </c>
    </row>
    <row r="10" spans="1:4" x14ac:dyDescent="0.35">
      <c r="A10">
        <f t="shared" si="1"/>
        <v>9</v>
      </c>
      <c r="B10" s="95" t="s">
        <v>179</v>
      </c>
      <c r="C10" s="75">
        <v>45063</v>
      </c>
      <c r="D10" t="s">
        <v>180</v>
      </c>
    </row>
    <row r="11" spans="1:4" ht="43.5" x14ac:dyDescent="0.35">
      <c r="A11">
        <f t="shared" si="1"/>
        <v>10</v>
      </c>
      <c r="B11" s="95" t="s">
        <v>192</v>
      </c>
      <c r="C11" s="75">
        <v>45146</v>
      </c>
      <c r="D11" s="17" t="s">
        <v>193</v>
      </c>
    </row>
    <row r="12" spans="1:4" x14ac:dyDescent="0.35">
      <c r="A12">
        <f t="shared" si="1"/>
        <v>11</v>
      </c>
      <c r="B12" s="95" t="s">
        <v>194</v>
      </c>
      <c r="C12" s="75">
        <v>45147</v>
      </c>
      <c r="D12" t="s">
        <v>195</v>
      </c>
    </row>
    <row r="13" spans="1:4" x14ac:dyDescent="0.35">
      <c r="A13">
        <f t="shared" si="1"/>
        <v>12</v>
      </c>
      <c r="B13" s="95" t="s">
        <v>198</v>
      </c>
      <c r="C13" s="75">
        <v>45181</v>
      </c>
      <c r="D13" t="s">
        <v>199</v>
      </c>
    </row>
    <row r="14" spans="1:4" x14ac:dyDescent="0.35">
      <c r="A14">
        <f>ROW()-1</f>
        <v>13</v>
      </c>
      <c r="B14" s="95" t="s">
        <v>200</v>
      </c>
      <c r="C14" s="75">
        <v>45225</v>
      </c>
      <c r="D14" t="s">
        <v>201</v>
      </c>
    </row>
  </sheetData>
  <sheetProtection algorithmName="SHA-512" hashValue="Wee2Up3XwgLiAwq9vJ+Go2V6lw40nStrig1pNjfbOiW0Y3YEGssAnHzpER0nHQGqvMqC+SDK1ejZhcPOEr/8vg==" saltValue="5YX8vCN56TskVINRCLAOBg==" spinCount="100000" sheet="1" objects="1" scenarios="1"/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6D829FB81C2C34F8721CFD46A61DA21" ma:contentTypeVersion="17" ma:contentTypeDescription="Create a new document." ma:contentTypeScope="" ma:versionID="672a46eaa5aa7fdac4b55d3232ca1481">
  <xsd:schema xmlns:xsd="http://www.w3.org/2001/XMLSchema" xmlns:xs="http://www.w3.org/2001/XMLSchema" xmlns:p="http://schemas.microsoft.com/office/2006/metadata/properties" xmlns:ns2="6612a744-8182-4e79-a5ad-3b7f2be871f9" xmlns:ns3="f563768d-03e2-4660-83cf-17929dead570" xmlns:ns4="3c35e321-f73a-4dae-ae38-a0459de24735" targetNamespace="http://schemas.microsoft.com/office/2006/metadata/properties" ma:root="true" ma:fieldsID="d4aa5d147fb8558addbbcd160734c47a" ns2:_="" ns3:_="" ns4:_="">
    <xsd:import namespace="6612a744-8182-4e79-a5ad-3b7f2be871f9"/>
    <xsd:import namespace="f563768d-03e2-4660-83cf-17929dead570"/>
    <xsd:import namespace="3c35e321-f73a-4dae-ae38-a0459de247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12a744-8182-4e79-a5ad-3b7f2be871f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63b7d1d5-7262-4eb7-85df-493a730aa64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63768d-03e2-4660-83cf-17929dead57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c35e321-f73a-4dae-ae38-a0459de24735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1aadea74-083a-4af4-a29b-134ccb7db6ea}" ma:internalName="TaxCatchAll" ma:showField="CatchAllData" ma:web="f563768d-03e2-4660-83cf-17929dead57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MediaLengthInSeconds xmlns="6612a744-8182-4e79-a5ad-3b7f2be871f9" xsi:nil="true"/>
    <SharedWithUsers xmlns="f563768d-03e2-4660-83cf-17929dead570">
      <UserInfo>
        <DisplayName/>
        <AccountId xsi:nil="true"/>
        <AccountType/>
      </UserInfo>
    </SharedWithUsers>
    <lcf76f155ced4ddcb4097134ff3c332f xmlns="6612a744-8182-4e79-a5ad-3b7f2be871f9">
      <Terms xmlns="http://schemas.microsoft.com/office/infopath/2007/PartnerControls"/>
    </lcf76f155ced4ddcb4097134ff3c332f>
    <TaxCatchAll xmlns="3c35e321-f73a-4dae-ae38-a0459de24735" xsi:nil="true"/>
  </documentManagement>
</p:properties>
</file>

<file path=customXml/itemProps1.xml><?xml version="1.0" encoding="utf-8"?>
<ds:datastoreItem xmlns:ds="http://schemas.openxmlformats.org/officeDocument/2006/customXml" ds:itemID="{ABA177E5-1531-4EB7-A0F2-5CA3EB045C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612a744-8182-4e79-a5ad-3b7f2be871f9"/>
    <ds:schemaRef ds:uri="f563768d-03e2-4660-83cf-17929dead570"/>
    <ds:schemaRef ds:uri="3c35e321-f73a-4dae-ae38-a0459de247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287F89A-D535-43FA-B5C2-6AA5AC137C8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D4DF5E2-EE38-49DA-A6F8-F18BCDA8B394}">
  <ds:schemaRefs>
    <ds:schemaRef ds:uri="http://purl.org/dc/elements/1.1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3c35e321-f73a-4dae-ae38-a0459de24735"/>
    <ds:schemaRef ds:uri="f563768d-03e2-4660-83cf-17929dead570"/>
    <ds:schemaRef ds:uri="6612a744-8182-4e79-a5ad-3b7f2be871f9"/>
    <ds:schemaRef ds:uri="http://purl.org/dc/dcmitype/"/>
    <ds:schemaRef ds:uri="http://schemas.microsoft.com/office/2006/metadata/properties"/>
    <ds:schemaRef ds:uri="http://www.w3.org/XML/1998/namespace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64</vt:i4>
      </vt:variant>
    </vt:vector>
  </HeadingPairs>
  <TitlesOfParts>
    <vt:vector size="74" baseType="lpstr">
      <vt:lpstr>Asset summary</vt:lpstr>
      <vt:lpstr>Initial scan</vt:lpstr>
      <vt:lpstr>Initial Email table</vt:lpstr>
      <vt:lpstr>Tracker update - initial</vt:lpstr>
      <vt:lpstr>Final scan</vt:lpstr>
      <vt:lpstr>Final Email table</vt:lpstr>
      <vt:lpstr>Tracker update - final</vt:lpstr>
      <vt:lpstr>lookUp</vt:lpstr>
      <vt:lpstr>Documentations</vt:lpstr>
      <vt:lpstr>version</vt:lpstr>
      <vt:lpstr>asset.class</vt:lpstr>
      <vt:lpstr>asset.id</vt:lpstr>
      <vt:lpstr>asset.name</vt:lpstr>
      <vt:lpstr>asset.release</vt:lpstr>
      <vt:lpstr>assignee</vt:lpstr>
      <vt:lpstr>bug.blocker.except</vt:lpstr>
      <vt:lpstr>bug.blocker.false</vt:lpstr>
      <vt:lpstr>bug.critical.except</vt:lpstr>
      <vt:lpstr>bug.critical.false</vt:lpstr>
      <vt:lpstr>comments</vt:lpstr>
      <vt:lpstr>doc.arch.final</vt:lpstr>
      <vt:lpstr>doc.arch.initial</vt:lpstr>
      <vt:lpstr>doc.overview.final</vt:lpstr>
      <vt:lpstr>doc.overview.initial</vt:lpstr>
      <vt:lpstr>doc.readme.final</vt:lpstr>
      <vt:lpstr>doc.readme.initial</vt:lpstr>
      <vt:lpstr>doc.releaseNotes.final</vt:lpstr>
      <vt:lpstr>doc.releaseNotes.initial</vt:lpstr>
      <vt:lpstr>doc.ui.final</vt:lpstr>
      <vt:lpstr>doc.ui.initial</vt:lpstr>
      <vt:lpstr>doc.userGuide.final</vt:lpstr>
      <vt:lpstr>doc.userGuide.initial</vt:lpstr>
      <vt:lpstr>Exceptions</vt:lpstr>
      <vt:lpstr>final.doc</vt:lpstr>
      <vt:lpstr>final.evaluationDate</vt:lpstr>
      <vt:lpstr>final.status</vt:lpstr>
      <vt:lpstr>FOSS.critical.except</vt:lpstr>
      <vt:lpstr>FOSS.critical.false</vt:lpstr>
      <vt:lpstr>FOSS.high.except</vt:lpstr>
      <vt:lpstr>FOSS.high.false</vt:lpstr>
      <vt:lpstr>FOSS.medium.except</vt:lpstr>
      <vt:lpstr>FOSS.medium.false</vt:lpstr>
      <vt:lpstr>init.doc</vt:lpstr>
      <vt:lpstr>initial.evaluationDate</vt:lpstr>
      <vt:lpstr>initial.status</vt:lpstr>
      <vt:lpstr>input.asset</vt:lpstr>
      <vt:lpstr>input.finalScan</vt:lpstr>
      <vt:lpstr>input.initialScan</vt:lpstr>
      <vt:lpstr>jira</vt:lpstr>
      <vt:lpstr>PHS.comment.final</vt:lpstr>
      <vt:lpstr>PHS.comment.initial</vt:lpstr>
      <vt:lpstr>PHS.doc.final</vt:lpstr>
      <vt:lpstr>PHS.doc.initial</vt:lpstr>
      <vt:lpstr>PHS.dupli.final</vt:lpstr>
      <vt:lpstr>PHS.dupli.initial</vt:lpstr>
      <vt:lpstr>PHS.FOSS.final</vt:lpstr>
      <vt:lpstr>PHS.FOSS.initial</vt:lpstr>
      <vt:lpstr>PHS.maintainability.final</vt:lpstr>
      <vt:lpstr>PHS.maintainability.initial</vt:lpstr>
      <vt:lpstr>PHS.reliability.final</vt:lpstr>
      <vt:lpstr>PHS.reliability.initial</vt:lpstr>
      <vt:lpstr>PHS.SAST.final</vt:lpstr>
      <vt:lpstr>PHS.SAST.initial</vt:lpstr>
      <vt:lpstr>PHS.unitTest.final</vt:lpstr>
      <vt:lpstr>PHS.unitTest.initial</vt:lpstr>
      <vt:lpstr>SAST.high.except</vt:lpstr>
      <vt:lpstr>SAST.high.false</vt:lpstr>
      <vt:lpstr>SAST.medium.except</vt:lpstr>
      <vt:lpstr>SAST.medium.false</vt:lpstr>
      <vt:lpstr>totalRepos</vt:lpstr>
      <vt:lpstr>tracker.asset.final</vt:lpstr>
      <vt:lpstr>tracker.asset.initial</vt:lpstr>
      <vt:lpstr>tracker.repo.final</vt:lpstr>
      <vt:lpstr>tracker.repo.initial</vt:lpstr>
    </vt:vector>
  </TitlesOfParts>
  <Manager/>
  <Company>Cognizant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Parappilly, Vinod Joy(Cognizant)</dc:creator>
  <cp:keywords/>
  <dc:description/>
  <cp:lastModifiedBy>Akhila, Medipally (Cognizant)</cp:lastModifiedBy>
  <cp:revision/>
  <dcterms:created xsi:type="dcterms:W3CDTF">2022-11-29T14:22:24Z</dcterms:created>
  <dcterms:modified xsi:type="dcterms:W3CDTF">2023-11-26T17:31:52Z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0x01010066D829FB81C2C34F8721CFD46A61DA21</vt:lpwstr>
  </property>
</Properties>
</file>